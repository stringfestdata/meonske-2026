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eorg\Documents\GitHub\meonske-2026\"/>
    </mc:Choice>
  </mc:AlternateContent>
  <xr:revisionPtr revIDLastSave="0" documentId="13_ncr:1_{523AEE49-23DA-493E-B832-2AD220FF4236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EquitySnapshot" sheetId="1" r:id="rId1"/>
    <sheet name="EquitySnapshotClean" sheetId="6" r:id="rId2"/>
    <sheet name="EquitySnapshotPlus" sheetId="8" r:id="rId3"/>
    <sheet name="Snapshot" sheetId="10" r:id="rId4"/>
    <sheet name="Chart" sheetId="11" r:id="rId5"/>
    <sheet name="Logs" sheetId="9" r:id="rId6"/>
  </sheets>
  <definedNames>
    <definedName name="ExternalData_1" localSheetId="1" hidden="1">EquitySnapshotClean!$A$1:$E$6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0" l="1"/>
  <c r="K6" i="10"/>
  <c r="J6" i="10"/>
  <c r="K5" i="10"/>
  <c r="J5" i="10"/>
  <c r="G5" i="10"/>
  <c r="G6" i="10"/>
  <c r="G7" i="10"/>
  <c r="G8" i="10"/>
  <c r="G9" i="10"/>
  <c r="F5" i="10"/>
  <c r="F6" i="10"/>
  <c r="F7" i="10"/>
  <c r="F8" i="10"/>
  <c r="F9" i="10"/>
  <c r="E5" i="10" a="1"/>
  <c r="E5" i="10"/>
  <c r="E6" i="10" a="1"/>
  <c r="E6" i="10"/>
  <c r="E7" i="10" a="1"/>
  <c r="E7" i="10"/>
  <c r="E8" i="10" a="1"/>
  <c r="E8" i="10"/>
  <c r="E9" i="10" a="1"/>
  <c r="E9" i="10"/>
  <c r="D5" i="10"/>
  <c r="D6" i="10"/>
  <c r="D7" i="10"/>
  <c r="D8" i="10"/>
  <c r="D9" i="10"/>
  <c r="C5" i="10"/>
  <c r="C6" i="10"/>
  <c r="C7" i="10"/>
  <c r="C8" i="10"/>
  <c r="C9" i="10"/>
  <c r="B5" i="10" a="1"/>
  <c r="B5" i="10"/>
  <c r="B6" i="10" a="1"/>
  <c r="B6" i="10"/>
  <c r="B7" i="10" a="1"/>
  <c r="B7" i="10"/>
  <c r="B8" i="10" a="1"/>
  <c r="B8" i="10"/>
  <c r="B9" i="10" a="1"/>
  <c r="B9" i="10"/>
  <c r="A5" i="10" a="1"/>
  <c r="A5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165F9A-A3C5-4AD3-BC9F-25CA8083881A}" keepAlive="1" name="Query - EquitySnapshot" description="Connection to the 'EquitySnapshot' query in the workbook." type="5" refreshedVersion="8" background="1" saveData="1">
    <dbPr connection="Provider=Microsoft.Mashup.OleDb.1;Data Source=$Workbook$;Location=EquitySnapshot;Extended Properties=&quot;&quot;" command="SELECT * FROM [EquitySnapsho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<sst xmlns="http://schemas.openxmlformats.org/spreadsheetml/2006/main" count="102" uniqueCount="68">
  <si>
    <t>Company</t>
  </si>
  <si>
    <t>Sector</t>
  </si>
  <si>
    <t>Price</t>
  </si>
  <si>
    <t>P/E</t>
  </si>
  <si>
    <t>EPS</t>
  </si>
  <si>
    <t>apple inc</t>
  </si>
  <si>
    <t>technology</t>
  </si>
  <si>
    <t>MICROSOFT</t>
  </si>
  <si>
    <t>Technology</t>
  </si>
  <si>
    <t>N/A</t>
  </si>
  <si>
    <t>amazon.com</t>
  </si>
  <si>
    <t>consumer Disc</t>
  </si>
  <si>
    <t>tesla inc</t>
  </si>
  <si>
    <t>consumer disc</t>
  </si>
  <si>
    <t>NVIDIA</t>
  </si>
  <si>
    <t>—</t>
  </si>
  <si>
    <t>Apple Inc</t>
  </si>
  <si>
    <t>Microsoft</t>
  </si>
  <si>
    <t>Amazon.Com</t>
  </si>
  <si>
    <t>Consumer Disc</t>
  </si>
  <si>
    <t>Tesla Inc</t>
  </si>
  <si>
    <t>Nvidia</t>
  </si>
  <si>
    <t>Ticker</t>
  </si>
  <si>
    <t>Company Name</t>
  </si>
  <si>
    <t>PE</t>
  </si>
  <si>
    <t>MarketCap (B)</t>
  </si>
  <si>
    <t>MSFT</t>
  </si>
  <si>
    <t>AAPL</t>
  </si>
  <si>
    <t>Apple</t>
  </si>
  <si>
    <t>NVDA</t>
  </si>
  <si>
    <t>JPM</t>
  </si>
  <si>
    <t>JPMorgan Chase</t>
  </si>
  <si>
    <t>Financials</t>
  </si>
  <si>
    <t>BAC</t>
  </si>
  <si>
    <t>Bank of America</t>
  </si>
  <si>
    <t>PG</t>
  </si>
  <si>
    <t>Procter &amp; Gamble</t>
  </si>
  <si>
    <t>Consumer</t>
  </si>
  <si>
    <t>KO</t>
  </si>
  <si>
    <t>Coca-Cola</t>
  </si>
  <si>
    <t>XOM</t>
  </si>
  <si>
    <t>Exxon Mobil</t>
  </si>
  <si>
    <t>Energy</t>
  </si>
  <si>
    <t>CVX</t>
  </si>
  <si>
    <t>Chevron</t>
  </si>
  <si>
    <t>T</t>
  </si>
  <si>
    <t>AT&amp;T</t>
  </si>
  <si>
    <t>Telecom</t>
  </si>
  <si>
    <t>2025-11-17T23:29:39.221Z</t>
  </si>
  <si>
    <t>Model checked</t>
  </si>
  <si>
    <t>2025-11-17T23:31:35.847Z</t>
  </si>
  <si>
    <t>2025-11-17T23:31:37.594Z</t>
  </si>
  <si>
    <t>2025-11-17T23:32:08.756Z</t>
  </si>
  <si>
    <t>2025-11-17T23:32:45.114Z</t>
  </si>
  <si>
    <t>2025-11-17T23:36:01.389Z</t>
  </si>
  <si>
    <t>2025-11-17T23:37:05.771Z</t>
  </si>
  <si>
    <t>2025-11-17T23:42:36.583Z</t>
  </si>
  <si>
    <t>2025-11-17T23:44:35.970Z</t>
  </si>
  <si>
    <t>2025-11-17T23:45:48.892Z</t>
  </si>
  <si>
    <t>2025-11-17T23:46:50.900Z</t>
  </si>
  <si>
    <t>2025-11-17T23:48:10.931Z</t>
  </si>
  <si>
    <t>📊 Sector Valuation Summary (from EquitySnapshotPlus)</t>
  </si>
  <si>
    <t>Tickers</t>
  </si>
  <si>
    <t>Count</t>
  </si>
  <si>
    <t>Avg P/E</t>
  </si>
  <si>
    <t>Wtd Avg P/E</t>
  </si>
  <si>
    <t>Min P/E</t>
  </si>
  <si>
    <t>Max P/E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</si>
</sst>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1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23/09/relationships/Python" Target="pyth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P/E by Ticker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EquitySnapshotPlus!$F$1</c:f>
              <c:strCache>
                <c:ptCount val="1"/>
                <c:pt idx="0">
                  <c:v>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EquitySnapshotPlus!$A$2:$A$11</c:f>
              <c:strCache>
                <c:ptCount val="10"/>
                <c:pt idx="0">
                  <c:v>MSFT</c:v>
                </c:pt>
                <c:pt idx="1">
                  <c:v>AAPL</c:v>
                </c:pt>
                <c:pt idx="2">
                  <c:v>NVDA</c:v>
                </c:pt>
                <c:pt idx="3">
                  <c:v>JPM</c:v>
                </c:pt>
                <c:pt idx="4">
                  <c:v>BAC</c:v>
                </c:pt>
                <c:pt idx="5">
                  <c:v>PG</c:v>
                </c:pt>
                <c:pt idx="6">
                  <c:v>KO</c:v>
                </c:pt>
                <c:pt idx="7">
                  <c:v>XOM</c:v>
                </c:pt>
                <c:pt idx="8">
                  <c:v>CVX</c:v>
                </c:pt>
                <c:pt idx="9">
                  <c:v>T</c:v>
                </c:pt>
              </c:strCache>
            </c:strRef>
          </c:cat>
          <c:val>
            <c:numRef>
              <c:f>EquitySnapshotPlus!$F$2:$F$11</c:f>
              <c:numCache>
                <c:formatCode>General</c:formatCode>
                <c:ptCount val="10"/>
                <c:pt idx="0">
                  <c:v>35.799999999999997</c:v>
                </c:pt>
                <c:pt idx="1">
                  <c:v>28.7</c:v>
                </c:pt>
                <c:pt idx="2">
                  <c:v>42.9</c:v>
                </c:pt>
                <c:pt idx="3">
                  <c:v>9.9</c:v>
                </c:pt>
                <c:pt idx="4">
                  <c:v>9.8000000000000007</c:v>
                </c:pt>
                <c:pt idx="5">
                  <c:v>28.9</c:v>
                </c:pt>
                <c:pt idx="6">
                  <c:v>24</c:v>
                </c:pt>
                <c:pt idx="7">
                  <c:v>13.1</c:v>
                </c:pt>
                <c:pt idx="8">
                  <c:v>11.6</c:v>
                </c:pt>
                <c:pt idx="9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76-41EA-A66C-6CC350E75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5099400"/>
        <c:axId val="1055105544"/>
      </c:barChart>
      <c:catAx>
        <c:axId val="1055099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Ticker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105544"/>
        <c:crosses val="autoZero"/>
        <c:auto val="1"/>
        <c:lblAlgn val="ctr"/>
        <c:lblOffset val="100"/>
        <c:noMultiLvlLbl val="0"/>
      </c:catAx>
      <c:valAx>
        <c:axId val="105510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P/E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09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</xdr:row>
      <xdr:rowOff>57150</xdr:rowOff>
    </xdr:from>
    <xdr:to>
      <xdr:col>13</xdr:col>
      <xdr:colOff>447675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445482-D534-968B-392F-3A82B5A74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D5F905-125A-41AB-8756-82EE9EC08FF6}" autoFormatId="16" applyNumberFormats="0" applyBorderFormats="0" applyFontFormats="0" applyPatternFormats="0" applyAlignmentFormats="0" applyWidthHeightFormats="0">
  <queryTableRefresh nextId="6">
    <queryTableFields count="5">
      <queryTableField id="1" name="Company" tableColumnId="1"/>
      <queryTableField id="2" name="Sector" tableColumnId="2"/>
      <queryTableField id="3" name="Price" tableColumnId="3"/>
      <queryTableField id="4" name="P/E" tableColumnId="4"/>
      <queryTableField id="5" name="EPS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9F961D-5FC5-457D-84DE-5929A99EA541}" name="EquitySnapshot" displayName="EquitySnapshot" ref="A1:E6" totalsRowShown="0">
  <autoFilter ref="A1:E6" xr:uid="{099F961D-5FC5-457D-84DE-5929A99EA541}"/>
  <tableColumns count="5">
    <tableColumn id="1" xr3:uid="{64588E9D-8CBD-4D27-9AEA-49A3298DE8B6}" name="Company"/>
    <tableColumn id="2" xr3:uid="{ED9C4834-02E6-4F88-A3AF-E6522AC92FE9}" name="Sector"/>
    <tableColumn id="3" xr3:uid="{9551F8A1-D4E8-4D9B-9AFD-30429E5B9D9E}" name="Price"/>
    <tableColumn id="4" xr3:uid="{E1BD3EDF-E523-42A5-A96D-8E0F05538BBD}" name="P/E"/>
    <tableColumn id="5" xr3:uid="{E3191CDC-8985-4578-8D29-21AD59A7CE7A}" name="EPS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EB4FE0-7569-4D6C-AFAB-4ABD543EB4FF}" name="EquitySnapshotClean" displayName="EquitySnapshotClean" ref="A1:E6" tableType="queryTable" totalsRowShown="0">
  <autoFilter ref="A1:E6" xr:uid="{24EB4FE0-7569-4D6C-AFAB-4ABD543EB4FF}"/>
  <tableColumns count="5">
    <tableColumn id="1" xr3:uid="{AAA888EF-CBC9-49DC-9B1F-4351546A4D61}" uniqueName="1" name="Company" queryTableFieldId="1" dataDxfId="10"/>
    <tableColumn id="2" xr3:uid="{28576EB6-FBF6-4518-8225-1EA2D3EEDE15}" uniqueName="2" name="Sector" queryTableFieldId="2" dataDxfId="9"/>
    <tableColumn id="3" xr3:uid="{AF1F5898-B555-4F18-A1FE-9582B5963CCA}" uniqueName="3" name="Price" queryTableFieldId="3"/>
    <tableColumn id="4" xr3:uid="{294060CE-243E-4059-8989-7FEA47E95F3F}" uniqueName="4" name="P/E" queryTableFieldId="4"/>
    <tableColumn id="5" xr3:uid="{A661114F-5E58-4D79-BBD1-BF5A139ED623}" uniqueName="5" name="EPS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CED851-F6F6-4121-A74E-29735240366A}" name="EquitySnapshotPlus" displayName="EquitySnapshotPlus" ref="A1:G11" totalsRowShown="0" headerRowDxfId="8" dataDxfId="7">
  <autoFilter ref="A1:G11" xr:uid="{57CED851-F6F6-4121-A74E-29735240366A}"/>
  <tableColumns count="7">
    <tableColumn id="1" xr3:uid="{FE27B3E4-6EE4-4EC7-8836-FEE90EE628F3}" name="Ticker" dataDxfId="6"/>
    <tableColumn id="2" xr3:uid="{561C1610-ACB1-40CA-A433-BD9731956AA0}" name="Company Name" dataDxfId="5"/>
    <tableColumn id="3" xr3:uid="{A40489F7-D5E6-48E1-9391-63149FD290E4}" name="Sector" dataDxfId="4"/>
    <tableColumn id="4" xr3:uid="{35F4CC4D-7147-46E8-8F79-E31EB9104847}" name="Price" dataDxfId="3"/>
    <tableColumn id="5" xr3:uid="{9058BA7F-2EEF-494F-BFE3-96120E518665}" name="EPS" dataDxfId="2"/>
    <tableColumn id="6" xr3:uid="{B50A939A-6876-4E36-8177-E73CB3914D82}" name="PE" dataDxfId="1"/>
    <tableColumn id="7" xr3:uid="{466D4599-2D3D-44D2-AE1C-0D9DF34F8AC5}" name="MarketCap (B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2" sqref="D2"/>
    </sheetView>
  </sheetViews>
  <sheetFormatPr defaultRowHeight="14.35" x14ac:dyDescent="0.5"/>
  <cols>
    <col min="1" max="1" width="10.1171875" customWidth="1"/>
    <col min="2" max="2" width="9.1171875" bestFit="1" customWidth="1"/>
    <col min="3" max="3" width="13.29296875" style="3" bestFit="1" customWidth="1"/>
  </cols>
  <sheetData>
    <row r="1" spans="1: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7" x14ac:dyDescent="0.5">
      <c r="A2" s="2" t="s">
        <v>5</v>
      </c>
      <c r="B2" s="2" t="s">
        <v>6</v>
      </c>
      <c r="C2" s="2">
        <v>182.3</v>
      </c>
      <c r="D2" s="2">
        <v>28.4</v>
      </c>
      <c r="E2" s="2">
        <v>6.45</v>
      </c>
    </row>
    <row r="3" spans="1:5" ht="28.7" x14ac:dyDescent="0.5">
      <c r="A3" s="2" t="s">
        <v>7</v>
      </c>
      <c r="B3" s="2" t="s">
        <v>8</v>
      </c>
      <c r="C3" s="2">
        <v>415.2</v>
      </c>
      <c r="D3" s="2" t="s">
        <v>9</v>
      </c>
      <c r="E3" s="2">
        <v>9.8000000000000007</v>
      </c>
    </row>
    <row r="4" spans="1:5" ht="28.7" x14ac:dyDescent="0.5">
      <c r="A4" s="2" t="s">
        <v>10</v>
      </c>
      <c r="B4" s="2" t="s">
        <v>11</v>
      </c>
      <c r="C4" s="2">
        <v>152.1</v>
      </c>
      <c r="D4" s="2">
        <v>57</v>
      </c>
      <c r="E4" s="2">
        <v>1.67</v>
      </c>
    </row>
    <row r="5" spans="1:5" ht="28.7" x14ac:dyDescent="0.5">
      <c r="A5" s="2" t="s">
        <v>12</v>
      </c>
      <c r="B5" s="2" t="s">
        <v>13</v>
      </c>
      <c r="C5" s="2">
        <v>239.4</v>
      </c>
      <c r="D5" s="2">
        <v>78.599999999999994</v>
      </c>
      <c r="E5" s="2" t="s">
        <v>9</v>
      </c>
    </row>
    <row r="6" spans="1:5" ht="28.7" x14ac:dyDescent="0.5">
      <c r="A6" s="2" t="s">
        <v>14</v>
      </c>
      <c r="B6" s="2" t="s">
        <v>8</v>
      </c>
      <c r="C6" s="2">
        <v>940.5</v>
      </c>
      <c r="D6" s="2" t="s">
        <v>15</v>
      </c>
      <c r="E6" s="2">
        <v>11.93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F1B9-5F62-4508-8BA1-0188925C1A36}">
  <dimension ref="A1:E6"/>
  <sheetViews>
    <sheetView workbookViewId="0">
      <selection activeCell="C4" sqref="C4"/>
    </sheetView>
  </sheetViews>
  <sheetFormatPr defaultRowHeight="14.35" x14ac:dyDescent="0.5"/>
  <cols>
    <col min="1" max="1" width="11.1171875" bestFit="1" customWidth="1"/>
    <col min="2" max="2" width="12.41015625" bestFit="1" customWidth="1"/>
    <col min="3" max="3" width="7" bestFit="1" customWidth="1"/>
    <col min="4" max="4" width="5.703125" bestFit="1" customWidth="1"/>
    <col min="5" max="5" width="5.87890625" bestFit="1" customWidth="1"/>
  </cols>
  <sheetData>
    <row r="1" spans="1: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">
      <c r="A2" t="s">
        <v>16</v>
      </c>
      <c r="B2" t="s">
        <v>8</v>
      </c>
      <c r="C2">
        <v>182.3</v>
      </c>
      <c r="D2">
        <v>28.4</v>
      </c>
      <c r="E2">
        <v>6.45</v>
      </c>
    </row>
    <row r="3" spans="1:5" x14ac:dyDescent="0.5">
      <c r="A3" t="s">
        <v>17</v>
      </c>
      <c r="B3" t="s">
        <v>8</v>
      </c>
      <c r="C3">
        <v>415.2</v>
      </c>
      <c r="E3">
        <v>9.8000000000000007</v>
      </c>
    </row>
    <row r="4" spans="1:5" x14ac:dyDescent="0.5">
      <c r="A4" t="s">
        <v>18</v>
      </c>
      <c r="B4" t="s">
        <v>19</v>
      </c>
      <c r="C4">
        <v>152.1</v>
      </c>
      <c r="D4">
        <v>57</v>
      </c>
      <c r="E4">
        <v>1.67</v>
      </c>
    </row>
    <row r="5" spans="1:5" x14ac:dyDescent="0.5">
      <c r="A5" t="s">
        <v>20</v>
      </c>
      <c r="B5" t="s">
        <v>19</v>
      </c>
      <c r="C5">
        <v>239.4</v>
      </c>
      <c r="D5">
        <v>78.599999999999994</v>
      </c>
    </row>
    <row r="6" spans="1:5" x14ac:dyDescent="0.5">
      <c r="A6" t="s">
        <v>21</v>
      </c>
      <c r="B6" t="s">
        <v>8</v>
      </c>
      <c r="C6">
        <v>940.5</v>
      </c>
      <c r="E6">
        <v>11.93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3953D-09CE-494B-BA91-6658497B77AE}">
  <dimension ref="A1:G11"/>
  <sheetViews>
    <sheetView workbookViewId="0">
      <selection activeCell="C2" sqref="C2"/>
    </sheetView>
  </sheetViews>
  <sheetFormatPr defaultRowHeight="14.35" x14ac:dyDescent="0.5"/>
  <sheetData>
    <row r="1" spans="1:7" ht="28.7" x14ac:dyDescent="0.5">
      <c r="A1" s="1" t="s">
        <v>22</v>
      </c>
      <c r="B1" s="1" t="s">
        <v>23</v>
      </c>
      <c r="C1" s="1" t="s">
        <v>1</v>
      </c>
      <c r="D1" s="1" t="s">
        <v>2</v>
      </c>
      <c r="E1" s="1" t="s">
        <v>4</v>
      </c>
      <c r="F1" s="1" t="s">
        <v>24</v>
      </c>
      <c r="G1" s="1" t="s">
        <v>25</v>
      </c>
    </row>
    <row r="2" spans="1:7" ht="28.7" x14ac:dyDescent="0.5">
      <c r="A2" s="2" t="s">
        <v>26</v>
      </c>
      <c r="B2" s="2" t="s">
        <v>17</v>
      </c>
      <c r="C2" s="2" t="s">
        <v>8</v>
      </c>
      <c r="D2" s="2">
        <v>326.7</v>
      </c>
      <c r="E2" s="2">
        <v>9.1300000000000008</v>
      </c>
      <c r="F2" s="2">
        <v>35.799999999999997</v>
      </c>
      <c r="G2" s="2">
        <v>2430</v>
      </c>
    </row>
    <row r="3" spans="1:7" ht="28.7" x14ac:dyDescent="0.5">
      <c r="A3" s="2" t="s">
        <v>27</v>
      </c>
      <c r="B3" s="2" t="s">
        <v>28</v>
      </c>
      <c r="C3" s="2" t="s">
        <v>8</v>
      </c>
      <c r="D3" s="2">
        <v>185.2</v>
      </c>
      <c r="E3" s="2">
        <v>6.45</v>
      </c>
      <c r="F3" s="2">
        <v>28.7</v>
      </c>
      <c r="G3" s="2">
        <v>2890</v>
      </c>
    </row>
    <row r="4" spans="1:7" ht="28.7" x14ac:dyDescent="0.5">
      <c r="A4" s="2" t="s">
        <v>29</v>
      </c>
      <c r="B4" s="2" t="s">
        <v>14</v>
      </c>
      <c r="C4" s="2" t="s">
        <v>8</v>
      </c>
      <c r="D4" s="2">
        <v>480.5</v>
      </c>
      <c r="E4" s="2">
        <v>11.2</v>
      </c>
      <c r="F4" s="2">
        <v>42.9</v>
      </c>
      <c r="G4" s="2">
        <v>1180</v>
      </c>
    </row>
    <row r="5" spans="1:7" ht="28.7" x14ac:dyDescent="0.5">
      <c r="A5" s="2" t="s">
        <v>30</v>
      </c>
      <c r="B5" s="2" t="s">
        <v>31</v>
      </c>
      <c r="C5" s="2" t="s">
        <v>32</v>
      </c>
      <c r="D5" s="2">
        <v>140.30000000000001</v>
      </c>
      <c r="E5" s="2">
        <v>14.2</v>
      </c>
      <c r="F5" s="2">
        <v>9.9</v>
      </c>
      <c r="G5" s="2">
        <v>410</v>
      </c>
    </row>
    <row r="6" spans="1:7" ht="28.7" x14ac:dyDescent="0.5">
      <c r="A6" s="2" t="s">
        <v>33</v>
      </c>
      <c r="B6" s="2" t="s">
        <v>34</v>
      </c>
      <c r="C6" s="2" t="s">
        <v>32</v>
      </c>
      <c r="D6" s="2">
        <v>31.5</v>
      </c>
      <c r="E6" s="2">
        <v>3.2</v>
      </c>
      <c r="F6" s="2">
        <v>9.8000000000000007</v>
      </c>
      <c r="G6" s="2">
        <v>250</v>
      </c>
    </row>
    <row r="7" spans="1:7" ht="28.7" x14ac:dyDescent="0.5">
      <c r="A7" s="2" t="s">
        <v>35</v>
      </c>
      <c r="B7" s="2" t="s">
        <v>36</v>
      </c>
      <c r="C7" s="2" t="s">
        <v>37</v>
      </c>
      <c r="D7" s="2">
        <v>154.5</v>
      </c>
      <c r="E7" s="2">
        <v>5.35</v>
      </c>
      <c r="F7" s="2">
        <v>28.9</v>
      </c>
      <c r="G7" s="2">
        <v>365</v>
      </c>
    </row>
    <row r="8" spans="1:7" x14ac:dyDescent="0.5">
      <c r="A8" s="2" t="s">
        <v>38</v>
      </c>
      <c r="B8" s="2" t="s">
        <v>39</v>
      </c>
      <c r="C8" s="2" t="s">
        <v>37</v>
      </c>
      <c r="D8" s="2">
        <v>59.8</v>
      </c>
      <c r="E8" s="2">
        <v>2.4900000000000002</v>
      </c>
      <c r="F8" s="2">
        <v>24</v>
      </c>
      <c r="G8" s="2">
        <v>260</v>
      </c>
    </row>
    <row r="9" spans="1:7" ht="28.7" x14ac:dyDescent="0.5">
      <c r="A9" s="2" t="s">
        <v>40</v>
      </c>
      <c r="B9" s="2" t="s">
        <v>41</v>
      </c>
      <c r="C9" s="2" t="s">
        <v>42</v>
      </c>
      <c r="D9" s="2">
        <v>108.9</v>
      </c>
      <c r="E9" s="2">
        <v>8.3000000000000007</v>
      </c>
      <c r="F9" s="2">
        <v>13.1</v>
      </c>
      <c r="G9" s="2">
        <v>440</v>
      </c>
    </row>
    <row r="10" spans="1:7" x14ac:dyDescent="0.5">
      <c r="A10" s="2" t="s">
        <v>43</v>
      </c>
      <c r="B10" s="2" t="s">
        <v>44</v>
      </c>
      <c r="C10" s="2" t="s">
        <v>42</v>
      </c>
      <c r="D10" s="2">
        <v>155.69999999999999</v>
      </c>
      <c r="E10" s="2">
        <v>13.4</v>
      </c>
      <c r="F10" s="2">
        <v>11.6</v>
      </c>
      <c r="G10" s="2">
        <v>300</v>
      </c>
    </row>
    <row r="11" spans="1:7" x14ac:dyDescent="0.5">
      <c r="A11" s="2" t="s">
        <v>45</v>
      </c>
      <c r="B11" s="2" t="s">
        <v>46</v>
      </c>
      <c r="C11" s="2" t="s">
        <v>47</v>
      </c>
      <c r="D11" s="2">
        <v>17.2</v>
      </c>
      <c r="E11" s="2">
        <v>1.95</v>
      </c>
      <c r="F11" s="2">
        <v>8.8000000000000007</v>
      </c>
      <c r="G11" s="2">
        <v>120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A278B-3D77-4541-82A7-5E289956C972}">
  <dimension ref="A1:K9"/>
  <sheetViews>
    <sheetView workbookViewId="0">
      <selection sqref="A1:H1"/>
    </sheetView>
  </sheetViews>
  <sheetFormatPr defaultRowHeight="14.35" x14ac:dyDescent="0.5"/>
  <cols>
    <col min="1" max="1" width="11.1171875" bestFit="1" customWidth="1"/>
    <col min="2" max="2" width="18" bestFit="1" customWidth="1"/>
    <col min="3" max="3" width="6.41015625" bestFit="1" customWidth="1"/>
    <col min="4" max="4" width="8" bestFit="1" customWidth="1"/>
    <col min="5" max="5" width="12.41015625" bestFit="1" customWidth="1"/>
    <col min="6" max="6" width="8.29296875" bestFit="1" customWidth="1"/>
    <col min="7" max="7" width="8.703125" bestFit="1" customWidth="1"/>
    <col min="10" max="10" width="10" bestFit="1" customWidth="1"/>
    <col min="11" max="11" width="5" bestFit="1" customWidth="1"/>
  </cols>
  <sheetData>
    <row r="1" spans="1:11" ht="18" x14ac:dyDescent="0.6">
      <c r="A1" s="6" t="s">
        <v>61</v>
      </c>
      <c r="B1" s="6"/>
      <c r="C1" s="6"/>
      <c r="D1" s="6"/>
      <c r="E1" s="6"/>
      <c r="F1" s="6"/>
      <c r="G1" s="6"/>
      <c r="H1" s="6"/>
    </row>
    <row r="2" spans="1:11" x14ac:dyDescent="0.5">
      <c r="A2" s="7" t="str">
        <f>"Sector valuations: weighted P/E ranges from " &amp; TEXT(K6, "0.0") &amp; "x (" &amp; J6 &amp; ") to " &amp; TEXT(K5, "0.0") &amp; "x (" &amp; J5 &amp; "). Simple average P/E spans " &amp; TEXT(MIN(D5:D9), "0.0") &amp; "x–" &amp; TEXT(MAX(D5:D9), "0.0") &amp; "x across sectors."</f>
        <v>Sector valuations: weighted P/E ranges from 8.8x (Telecom) to 33.9x (Technology). Simple average P/E spans 8.8x–35.8x across sectors.</v>
      </c>
      <c r="B2" s="7"/>
      <c r="C2" s="7"/>
      <c r="D2" s="7"/>
      <c r="E2" s="7"/>
      <c r="F2" s="7"/>
      <c r="G2" s="7"/>
      <c r="H2" s="7"/>
    </row>
    <row r="3" spans="1:11" x14ac:dyDescent="0.5">
      <c r="A3" s="7"/>
      <c r="B3" s="7"/>
      <c r="C3" s="7"/>
      <c r="D3" s="7"/>
      <c r="E3" s="7"/>
      <c r="F3" s="7"/>
      <c r="G3" s="7"/>
      <c r="H3" s="7"/>
    </row>
    <row r="4" spans="1:11" x14ac:dyDescent="0.5">
      <c r="A4" s="4" t="s">
        <v>1</v>
      </c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</row>
    <row r="5" spans="1:11" x14ac:dyDescent="0.5">
      <c r="A5" t="str" cm="1">
        <f t="array" ref="A5:A9">_xlfn._xlws.SORT(_xlfn.UNIQUE(EquitySnapshotPlus[Sector]))</f>
        <v>Consumer</v>
      </c>
      <c r="B5" t="str" cm="1">
        <f t="array" ref="B5">_xlfn.TEXTJOIN(", ", TRUE, _xlfn._xlws.FILTER(EquitySnapshotPlus[Ticker], EquitySnapshotPlus[Sector]=A5))</f>
        <v>PG, KO</v>
      </c>
      <c r="C5">
        <f>COUNTIFS(EquitySnapshotPlus[Sector], A5)</f>
        <v>2</v>
      </c>
      <c r="D5" s="5">
        <f>AVERAGEIFS(EquitySnapshotPlus[PE], EquitySnapshotPlus[Sector], A5)</f>
        <v>26.45</v>
      </c>
      <c r="E5" s="5" cm="1">
        <f t="array" ref="E5">SUMPRODUCT(EquitySnapshotPlus[PE], EquitySnapshotPlus[MarketCap (B)], --(EquitySnapshotPlus[Sector]=A5))/SUMIFS(EquitySnapshotPlus[MarketCap (B)], EquitySnapshotPlus[Sector], A5)</f>
        <v>26.861599999999999</v>
      </c>
      <c r="F5" s="5">
        <f>_xlfn.MINIFS(EquitySnapshotPlus[PE], EquitySnapshotPlus[Sector], A5)</f>
        <v>24</v>
      </c>
      <c r="G5" s="5">
        <f>_xlfn.MAXIFS(EquitySnapshotPlus[PE], EquitySnapshotPlus[Sector], A5)</f>
        <v>28.9</v>
      </c>
      <c r="J5" t="str">
        <f>INDEX(A5:A9, MATCH(MAX(E5:E9), E5:E9, 0))</f>
        <v>Technology</v>
      </c>
      <c r="K5" s="5">
        <f>MAX(E5:E9)</f>
        <v>33.932153846153845</v>
      </c>
    </row>
    <row r="6" spans="1:11" x14ac:dyDescent="0.5">
      <c r="A6" t="str">
        <v>Energy</v>
      </c>
      <c r="B6" t="str" cm="1">
        <f t="array" ref="B6">_xlfn.TEXTJOIN(", ", TRUE, _xlfn._xlws.FILTER(EquitySnapshotPlus[Ticker], EquitySnapshotPlus[Sector]=A6))</f>
        <v>XOM, CVX</v>
      </c>
      <c r="C6">
        <f>COUNTIFS(EquitySnapshotPlus[Sector], A6)</f>
        <v>2</v>
      </c>
      <c r="D6" s="5">
        <f>AVERAGEIFS(EquitySnapshotPlus[PE], EquitySnapshotPlus[Sector], A6)</f>
        <v>12.35</v>
      </c>
      <c r="E6" s="5" cm="1">
        <f t="array" ref="E6">SUMPRODUCT(EquitySnapshotPlus[PE], EquitySnapshotPlus[MarketCap (B)], --(EquitySnapshotPlus[Sector]=A6))/SUMIFS(EquitySnapshotPlus[MarketCap (B)], EquitySnapshotPlus[Sector], A6)</f>
        <v>12.491891891891893</v>
      </c>
      <c r="F6" s="5">
        <f>_xlfn.MINIFS(EquitySnapshotPlus[PE], EquitySnapshotPlus[Sector], A6)</f>
        <v>11.6</v>
      </c>
      <c r="G6" s="5">
        <f>_xlfn.MAXIFS(EquitySnapshotPlus[PE], EquitySnapshotPlus[Sector], A6)</f>
        <v>13.1</v>
      </c>
      <c r="J6" t="str">
        <f>INDEX(A5:A9, MATCH(MIN(E5:E9), E5:E9, 0))</f>
        <v>Telecom</v>
      </c>
      <c r="K6" s="5">
        <f>MIN(E5:E9)</f>
        <v>8.8000000000000007</v>
      </c>
    </row>
    <row r="7" spans="1:11" x14ac:dyDescent="0.5">
      <c r="A7" t="str">
        <v>Financials</v>
      </c>
      <c r="B7" t="str" cm="1">
        <f t="array" ref="B7">_xlfn.TEXTJOIN(", ", TRUE, _xlfn._xlws.FILTER(EquitySnapshotPlus[Ticker], EquitySnapshotPlus[Sector]=A7))</f>
        <v>JPM, BAC</v>
      </c>
      <c r="C7">
        <f>COUNTIFS(EquitySnapshotPlus[Sector], A7)</f>
        <v>2</v>
      </c>
      <c r="D7" s="5">
        <f>AVERAGEIFS(EquitySnapshotPlus[PE], EquitySnapshotPlus[Sector], A7)</f>
        <v>9.8500000000000014</v>
      </c>
      <c r="E7" s="5" cm="1">
        <f t="array" ref="E7">SUMPRODUCT(EquitySnapshotPlus[PE], EquitySnapshotPlus[MarketCap (B)], --(EquitySnapshotPlus[Sector]=A7))/SUMIFS(EquitySnapshotPlus[MarketCap (B)], EquitySnapshotPlus[Sector], A7)</f>
        <v>9.8621212121212114</v>
      </c>
      <c r="F7" s="5">
        <f>_xlfn.MINIFS(EquitySnapshotPlus[PE], EquitySnapshotPlus[Sector], A7)</f>
        <v>9.8000000000000007</v>
      </c>
      <c r="G7" s="5">
        <f>_xlfn.MAXIFS(EquitySnapshotPlus[PE], EquitySnapshotPlus[Sector], A7)</f>
        <v>9.9</v>
      </c>
    </row>
    <row r="8" spans="1:11" x14ac:dyDescent="0.5">
      <c r="A8" t="str">
        <v>Technology</v>
      </c>
      <c r="B8" t="str" cm="1">
        <f t="array" ref="B8">_xlfn.TEXTJOIN(", ", TRUE, _xlfn._xlws.FILTER(EquitySnapshotPlus[Ticker], EquitySnapshotPlus[Sector]=A8))</f>
        <v>MSFT, AAPL, NVDA</v>
      </c>
      <c r="C8">
        <f>COUNTIFS(EquitySnapshotPlus[Sector], A8)</f>
        <v>3</v>
      </c>
      <c r="D8" s="5">
        <f>AVERAGEIFS(EquitySnapshotPlus[PE], EquitySnapshotPlus[Sector], A8)</f>
        <v>35.800000000000004</v>
      </c>
      <c r="E8" s="5" cm="1">
        <f t="array" ref="E8">SUMPRODUCT(EquitySnapshotPlus[PE], EquitySnapshotPlus[MarketCap (B)], --(EquitySnapshotPlus[Sector]=A8))/SUMIFS(EquitySnapshotPlus[MarketCap (B)], EquitySnapshotPlus[Sector], A8)</f>
        <v>33.932153846153845</v>
      </c>
      <c r="F8" s="5">
        <f>_xlfn.MINIFS(EquitySnapshotPlus[PE], EquitySnapshotPlus[Sector], A8)</f>
        <v>28.7</v>
      </c>
      <c r="G8" s="5">
        <f>_xlfn.MAXIFS(EquitySnapshotPlus[PE], EquitySnapshotPlus[Sector], A8)</f>
        <v>42.9</v>
      </c>
    </row>
    <row r="9" spans="1:11" x14ac:dyDescent="0.5">
      <c r="A9" t="str">
        <v>Telecom</v>
      </c>
      <c r="B9" t="str" cm="1">
        <f t="array" ref="B9">_xlfn.TEXTJOIN(", ", TRUE, _xlfn._xlws.FILTER(EquitySnapshotPlus[Ticker], EquitySnapshotPlus[Sector]=A9))</f>
        <v>T</v>
      </c>
      <c r="C9">
        <f>COUNTIFS(EquitySnapshotPlus[Sector], A9)</f>
        <v>1</v>
      </c>
      <c r="D9" s="5">
        <f>AVERAGEIFS(EquitySnapshotPlus[PE], EquitySnapshotPlus[Sector], A9)</f>
        <v>8.8000000000000007</v>
      </c>
      <c r="E9" s="5" cm="1">
        <f t="array" ref="E9">SUMPRODUCT(EquitySnapshotPlus[PE], EquitySnapshotPlus[MarketCap (B)], --(EquitySnapshotPlus[Sector]=A9))/SUMIFS(EquitySnapshotPlus[MarketCap (B)], EquitySnapshotPlus[Sector], A9)</f>
        <v>8.8000000000000007</v>
      </c>
      <c r="F9" s="5">
        <f>_xlfn.MINIFS(EquitySnapshotPlus[PE], EquitySnapshotPlus[Sector], A9)</f>
        <v>8.8000000000000007</v>
      </c>
      <c r="G9" s="5">
        <f>_xlfn.MAXIFS(EquitySnapshotPlus[PE], EquitySnapshotPlus[Sector], A9)</f>
        <v>8.8000000000000007</v>
      </c>
    </row>
  </sheetData>
  <mergeCells count="2">
    <mergeCell ref="A1:H1"/>
    <mergeCell ref="A2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C255C-36F0-4AE3-89D6-0BB581F7498F}">
  <dimension ref="A1"/>
  <sheetViews>
    <sheetView workbookViewId="0"/>
  </sheetViews>
  <sheetFormatPr defaultRowHeight="14.35" x14ac:dyDescent="0.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38EC-C1E9-47C3-9B36-9E0ABCACC76F}">
  <dimension ref="A2:B13"/>
  <sheetViews>
    <sheetView workbookViewId="0">
      <selection activeCell="A8" sqref="A8"/>
    </sheetView>
  </sheetViews>
  <sheetFormatPr defaultRowHeight="14.35" x14ac:dyDescent="0.5"/>
  <cols>
    <col min="1" max="1" width="22.41015625" bestFit="1" customWidth="1"/>
    <col min="2" max="2" width="14.87890625" customWidth="1"/>
  </cols>
  <sheetData>
    <row r="2" spans="1:2" x14ac:dyDescent="0.5">
      <c r="A2" t="s">
        <v>48</v>
      </c>
      <c r="B2" t="s">
        <v>49</v>
      </c>
    </row>
    <row r="3" spans="1:2" x14ac:dyDescent="0.5">
      <c r="A3" t="s">
        <v>50</v>
      </c>
      <c r="B3" t="s">
        <v>49</v>
      </c>
    </row>
    <row r="4" spans="1:2" x14ac:dyDescent="0.5">
      <c r="A4" t="s">
        <v>51</v>
      </c>
      <c r="B4" t="s">
        <v>49</v>
      </c>
    </row>
    <row r="5" spans="1:2" x14ac:dyDescent="0.5">
      <c r="A5" t="s">
        <v>52</v>
      </c>
      <c r="B5" t="s">
        <v>49</v>
      </c>
    </row>
    <row r="6" spans="1:2" x14ac:dyDescent="0.5">
      <c r="A6" t="s">
        <v>53</v>
      </c>
      <c r="B6" t="s">
        <v>49</v>
      </c>
    </row>
    <row r="7" spans="1:2" x14ac:dyDescent="0.5">
      <c r="A7" t="s">
        <v>54</v>
      </c>
      <c r="B7" t="s">
        <v>49</v>
      </c>
    </row>
    <row r="8" spans="1:2" x14ac:dyDescent="0.5">
      <c r="A8" t="s">
        <v>55</v>
      </c>
      <c r="B8" t="s">
        <v>49</v>
      </c>
    </row>
    <row r="9" spans="1:2" x14ac:dyDescent="0.5">
      <c r="A9" t="s">
        <v>56</v>
      </c>
      <c r="B9" t="s">
        <v>49</v>
      </c>
    </row>
    <row r="10" spans="1:2" x14ac:dyDescent="0.5">
      <c r="A10" t="s">
        <v>57</v>
      </c>
      <c r="B10" t="s">
        <v>49</v>
      </c>
    </row>
    <row r="11" spans="1:2" x14ac:dyDescent="0.5">
      <c r="A11" t="s">
        <v>58</v>
      </c>
      <c r="B11" t="s">
        <v>49</v>
      </c>
    </row>
    <row r="12" spans="1:2" x14ac:dyDescent="0.5">
      <c r="A12" t="s">
        <v>59</v>
      </c>
      <c r="B12" t="s">
        <v>49</v>
      </c>
    </row>
    <row r="13" spans="1:2" x14ac:dyDescent="0.5">
      <c r="A13" t="s">
        <v>60</v>
      </c>
      <c r="B13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12CA2C-AD70-49EF-B885-F7FD853DD8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EquitySnapshot</vt:lpstr>
      <vt:lpstr>EquitySnapshotClean</vt:lpstr>
      <vt:lpstr>EquitySnapshotPlus</vt:lpstr>
      <vt:lpstr>Snapshot</vt:lpstr>
      <vt:lpstr>Chart</vt:lpstr>
      <vt:lpstr>Logs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Mount</dc:creator>
  <cp:keywords/>
  <dc:description/>
  <cp:lastModifiedBy>George Mount</cp:lastModifiedBy>
  <cp:revision/>
  <dcterms:created xsi:type="dcterms:W3CDTF">2015-06-05T18:17:20Z</dcterms:created>
  <dcterms:modified xsi:type="dcterms:W3CDTF">2026-04-06T15:03:18Z</dcterms:modified>
  <cp:category/>
  <cp:contentStatus/>
</cp:coreProperties>
</file>