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ai-excel-financial-modelers-fmi\"/>
    </mc:Choice>
  </mc:AlternateContent>
  <xr:revisionPtr revIDLastSave="0" documentId="13_ncr:1_{9E8573C9-DF0F-46FA-AA87-20313839BFA7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EquitySnapshot" sheetId="1" r:id="rId1"/>
    <sheet name="EquitySnapshotClean" sheetId="6" r:id="rId2"/>
    <sheet name="Analysis1" sheetId="7" r:id="rId3"/>
    <sheet name="EquitySnapshotPlus" sheetId="8" r:id="rId4"/>
    <sheet name="Logs" sheetId="9" r:id="rId5"/>
    <sheet name="Snapshot" sheetId="10" r:id="rId6"/>
    <sheet name="Chart" sheetId="11" r:id="rId7"/>
  </sheets>
  <definedNames>
    <definedName name="ExternalData_1" localSheetId="1" hidden="1">EquitySnapshotClean!$A$1:$E$6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/>
  <c r="K6" i="10"/>
  <c r="J6" i="10"/>
  <c r="K5" i="10"/>
  <c r="J5" i="10"/>
  <c r="G5" i="10"/>
  <c r="G6" i="10"/>
  <c r="G7" i="10"/>
  <c r="G8" i="10"/>
  <c r="G9" i="10"/>
  <c r="F5" i="10"/>
  <c r="F6" i="10"/>
  <c r="F7" i="10"/>
  <c r="F8" i="10"/>
  <c r="F9" i="10"/>
  <c r="E5" i="10" a="1"/>
  <c r="E5" i="10"/>
  <c r="E6" i="10" a="1"/>
  <c r="E6" i="10"/>
  <c r="E7" i="10" a="1"/>
  <c r="E7" i="10"/>
  <c r="E8" i="10" a="1"/>
  <c r="E8" i="10"/>
  <c r="E9" i="10" a="1"/>
  <c r="E9" i="10"/>
  <c r="D5" i="10"/>
  <c r="D6" i="10"/>
  <c r="D7" i="10"/>
  <c r="D8" i="10"/>
  <c r="D9" i="10"/>
  <c r="C5" i="10"/>
  <c r="C6" i="10"/>
  <c r="C7" i="10"/>
  <c r="C8" i="10"/>
  <c r="C9" i="10"/>
  <c r="B5" i="10" a="1"/>
  <c r="B5" i="10"/>
  <c r="B6" i="10" a="1"/>
  <c r="B6" i="10"/>
  <c r="B7" i="10" a="1"/>
  <c r="B7" i="10"/>
  <c r="B8" i="10" a="1"/>
  <c r="B8" i="10"/>
  <c r="B9" i="10" a="1"/>
  <c r="B9" i="10"/>
  <c r="A5" i="10" a="1"/>
  <c r="A5" i="10"/>
  <c r="A30" i="7" a="1"/>
  <c r="A30" i="7" s="1"/>
  <c r="A21" i="7" a="1"/>
  <c r="A21" i="7" s="1"/>
  <c r="A18" i="7" a="1"/>
  <c r="A18" i="7" s="1"/>
  <c r="A9" i="7" a="1"/>
  <c r="A9" i="7" s="1"/>
  <c r="A6" i="7" a="1"/>
  <c r="A6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165F9A-A3C5-4AD3-BC9F-25CA8083881A}" keepAlive="1" name="Query - EquitySnapshot" description="Connection to the 'EquitySnapshot' query in the workbook." type="5" refreshedVersion="8" background="1" saveData="1">
    <dbPr connection="Provider=Microsoft.Mashup.OleDb.1;Data Source=$Workbook$;Location=EquitySnapshot;Extended Properties=&quot;&quot;" command="SELECT * FROM [EquitySnapsho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3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10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EquitySnapshotClean_df=xl(%P2%, headers=True)</code>
    </pythonScript>
    <pythonScript>
      <code>#Monte Carlo simulation for average future stock prices
np.random.seed(42)
results = []
for idx, row in EquitySnapshotClean_df.iterrows():
    ticker = row['Company']
    price = row['Price']
    # Simulate 1,000 future prices
    simulated_returns = np.random.normal(loc=1.01, scale=0.05, size=1000)
    simulated_prices = price * simulated_returns
    avg_simulated_price = simulated_prices.mean()
    results.append({'Ticker': ticker, 'Average Simulated Price': avg_simulated_price})
# Create results DataFrame and sort
sim_results_df = pd.DataFrame(results).sort_values('Average Simulated Price', ascending=False)
sim_results_df.reset_index(drop=True, inplace=True)
sim_results_df</code>
    </pythonScript>
    <pythonScript>
      <code>#Bar chart of average simulated prices by ticker
#Bar chart of average simulated prices by ticker
plt.rcParams['font.family'] = ['Meiryo','Batang','TH SarabunPSK','SimHei','DejaVu Sans']
plt.figure(figsize=(8,5))
plt.bar(sim_results_df['Ticker'], sim_results_df['Average Simulated Price'], color='skyblue')
plt.xlabel('Ticker')
plt.ylabel('Average Simulated Price')
plt.title('Average Simulated Future Stock Price by Ticker')
plt.xticks(rotation=30)
plt.tight_layout()
plt.show()</code>
    </pythonScript>
  </pythonScripts>
</python>
</file>

<file path=xl/sharedStrings.xml><?xml version="1.0" encoding="utf-8"?>
<sst xmlns="http://schemas.openxmlformats.org/spreadsheetml/2006/main" count="109" uniqueCount="74">
  <si>
    <t>Company</t>
  </si>
  <si>
    <t>Sector</t>
  </si>
  <si>
    <t>Price</t>
  </si>
  <si>
    <t>P/E</t>
  </si>
  <si>
    <t>EPS</t>
  </si>
  <si>
    <t>apple inc</t>
  </si>
  <si>
    <t>technology</t>
  </si>
  <si>
    <t>MICROSOFT</t>
  </si>
  <si>
    <t>Technology</t>
  </si>
  <si>
    <t>N/A</t>
  </si>
  <si>
    <t>amazon.com</t>
  </si>
  <si>
    <t>consumer Disc</t>
  </si>
  <si>
    <t>tesla inc</t>
  </si>
  <si>
    <t>consumer disc</t>
  </si>
  <si>
    <t>NVIDIA</t>
  </si>
  <si>
    <t>—</t>
  </si>
  <si>
    <t>Apple Inc</t>
  </si>
  <si>
    <t>Microsoft</t>
  </si>
  <si>
    <t>Amazon.Com</t>
  </si>
  <si>
    <t>Consumer Disc</t>
  </si>
  <si>
    <t>Tesla Inc</t>
  </si>
  <si>
    <t>Nvidia</t>
  </si>
  <si>
    <t>Analysis Sheet</t>
  </si>
  <si>
    <t>This sheet will include all the Python formulas generated by Copilot.</t>
  </si>
  <si>
    <t>Load data from EquitySnapshotClean, EquitySnapshotClean</t>
  </si>
  <si>
    <t>Preview</t>
  </si>
  <si>
    <t>Monte Carlo simulation for average future stock prices</t>
  </si>
  <si>
    <t>Bar chart of average simulated prices by ticker</t>
  </si>
  <si>
    <t>Ticker</t>
  </si>
  <si>
    <t>Company Name</t>
  </si>
  <si>
    <t>PE</t>
  </si>
  <si>
    <t>MarketCap (B)</t>
  </si>
  <si>
    <t>MSFT</t>
  </si>
  <si>
    <t>AAPL</t>
  </si>
  <si>
    <t>Apple</t>
  </si>
  <si>
    <t>NVDA</t>
  </si>
  <si>
    <t>JPM</t>
  </si>
  <si>
    <t>JPMorgan Chase</t>
  </si>
  <si>
    <t>Financials</t>
  </si>
  <si>
    <t>BAC</t>
  </si>
  <si>
    <t>Bank of America</t>
  </si>
  <si>
    <t>PG</t>
  </si>
  <si>
    <t>Procter &amp; Gamble</t>
  </si>
  <si>
    <t>Consumer</t>
  </si>
  <si>
    <t>KO</t>
  </si>
  <si>
    <t>Coca-Cola</t>
  </si>
  <si>
    <t>XOM</t>
  </si>
  <si>
    <t>Exxon Mobil</t>
  </si>
  <si>
    <t>Energy</t>
  </si>
  <si>
    <t>CVX</t>
  </si>
  <si>
    <t>Chevron</t>
  </si>
  <si>
    <t>T</t>
  </si>
  <si>
    <t>AT&amp;T</t>
  </si>
  <si>
    <t>Telecom</t>
  </si>
  <si>
    <t>2025-11-17T23:29:39.221Z</t>
  </si>
  <si>
    <t>Model checked</t>
  </si>
  <si>
    <t>2025-11-17T23:31:35.847Z</t>
  </si>
  <si>
    <t>2025-11-17T23:31:37.594Z</t>
  </si>
  <si>
    <t>2025-11-17T23:32:08.756Z</t>
  </si>
  <si>
    <t>2025-11-17T23:32:45.114Z</t>
  </si>
  <si>
    <t>2025-11-17T23:36:01.389Z</t>
  </si>
  <si>
    <t>2025-11-17T23:37:05.771Z</t>
  </si>
  <si>
    <t>2025-11-17T23:42:36.583Z</t>
  </si>
  <si>
    <t>2025-11-17T23:44:35.970Z</t>
  </si>
  <si>
    <t>2025-11-17T23:45:48.892Z</t>
  </si>
  <si>
    <t>2025-11-17T23:46:50.900Z</t>
  </si>
  <si>
    <t>2025-11-17T23:48:10.931Z</t>
  </si>
  <si>
    <t>📊 Sector Valuation Summary (from EquitySnapshotPlus)</t>
  </si>
  <si>
    <t>Tickers</t>
  </si>
  <si>
    <t>Count</t>
  </si>
  <si>
    <t>Avg P/E</t>
  </si>
  <si>
    <t>Wtd Avg P/E</t>
  </si>
  <si>
    <t>Min P/E</t>
  </si>
  <si>
    <t>Max 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</si>
</sst>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156082"/>
      <name val="Calibri"/>
      <family val="2"/>
      <scheme val="minor"/>
    </font>
    <font>
      <b/>
      <sz val="14"/>
      <color rgb="FF15608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165" fontId="0" fillId="0" borderId="0" xfId="0" applyNumberFormat="1"/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2/10/relationships/richValueRel" Target="richData/richValueRel.xml"/><Relationship Id="rId18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microsoft.com/office/2017/06/relationships/rdArray" Target="richData/rdarray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23" Type="http://schemas.microsoft.com/office/2023/09/relationships/Python" Target="python.xml"/><Relationship Id="rId10" Type="http://schemas.openxmlformats.org/officeDocument/2006/relationships/styles" Target="styles.xml"/><Relationship Id="rId19" Type="http://schemas.microsoft.com/office/2017/06/relationships/rdSupportingPropertyBag" Target="richData/rdsupportingpropertybag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06/relationships/rdRichValue" Target="richData/rdrichvalue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P/E by Ticker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EquitySnapshotPlus!$F$1</c:f>
              <c:strCache>
                <c:ptCount val="1"/>
                <c:pt idx="0">
                  <c:v>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EquitySnapshotPlus!$A$2:$A$11</c:f>
              <c:strCache>
                <c:ptCount val="10"/>
                <c:pt idx="0">
                  <c:v>MSFT</c:v>
                </c:pt>
                <c:pt idx="1">
                  <c:v>AAPL</c:v>
                </c:pt>
                <c:pt idx="2">
                  <c:v>NVDA</c:v>
                </c:pt>
                <c:pt idx="3">
                  <c:v>JPM</c:v>
                </c:pt>
                <c:pt idx="4">
                  <c:v>BAC</c:v>
                </c:pt>
                <c:pt idx="5">
                  <c:v>PG</c:v>
                </c:pt>
                <c:pt idx="6">
                  <c:v>KO</c:v>
                </c:pt>
                <c:pt idx="7">
                  <c:v>XOM</c:v>
                </c:pt>
                <c:pt idx="8">
                  <c:v>CVX</c:v>
                </c:pt>
                <c:pt idx="9">
                  <c:v>T</c:v>
                </c:pt>
              </c:strCache>
            </c:strRef>
          </c:cat>
          <c:val>
            <c:numRef>
              <c:f>EquitySnapshotPlus!$F$2:$F$11</c:f>
              <c:numCache>
                <c:formatCode>General</c:formatCode>
                <c:ptCount val="10"/>
                <c:pt idx="0">
                  <c:v>35.799999999999997</c:v>
                </c:pt>
                <c:pt idx="1">
                  <c:v>28.7</c:v>
                </c:pt>
                <c:pt idx="2">
                  <c:v>42.9</c:v>
                </c:pt>
                <c:pt idx="3">
                  <c:v>9.9</c:v>
                </c:pt>
                <c:pt idx="4">
                  <c:v>9.8000000000000007</c:v>
                </c:pt>
                <c:pt idx="5">
                  <c:v>28.9</c:v>
                </c:pt>
                <c:pt idx="6">
                  <c:v>24</c:v>
                </c:pt>
                <c:pt idx="7">
                  <c:v>13.1</c:v>
                </c:pt>
                <c:pt idx="8">
                  <c:v>11.6</c:v>
                </c:pt>
                <c:pt idx="9">
                  <c:v>8.8000000000000007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76-41EA-A66C-6CC350E75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5099400"/>
        <c:axId val="1055105544"/>
      </c:barChart>
      <c:catAx>
        <c:axId val="1055099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Ticker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105544"/>
        <c:crosses val="autoZero"/>
        <c:auto val="1"/>
        <c:lblAlgn val="ctr"/>
        <c:lblOffset val="100"/>
        <c:noMultiLvlLbl val="0"/>
      </c:catAx>
      <c:valAx>
        <c:axId val="105510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09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30</xdr:row>
      <xdr:rowOff>1</xdr:rowOff>
    </xdr:from>
    <xdr:to>
      <xdr:col>7</xdr:col>
      <xdr:colOff>191451</xdr:colOff>
      <xdr:row>46</xdr:row>
      <xdr:rowOff>1</xdr:rowOff>
    </xdr:to>
    <xdr:pic>
      <xdr:nvPicPr>
        <xdr:cNvPr id="2" name="Picture 1" title="Bar chart of average simulated prices by ticker">
          <a:extLst>
            <a:ext uri="{FF2B5EF4-FFF2-40B4-BE49-F238E27FC236}">
              <a16:creationId xmlns:a16="http://schemas.microsoft.com/office/drawing/2014/main" id="{623F6A2F-2C08-254D-3FA4-0896381B4D1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1!A30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842001"/>
          <a:ext cx="4695717" cy="2912533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</xdr:row>
      <xdr:rowOff>57150</xdr:rowOff>
    </xdr:from>
    <xdr:to>
      <xdr:col>13</xdr:col>
      <xdr:colOff>447675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445482-D534-968B-392F-3A82B5A74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D5F905-125A-41AB-8756-82EE9EC08FF6}" autoFormatId="16" applyNumberFormats="0" applyBorderFormats="0" applyFontFormats="0" applyPatternFormats="0" applyAlignmentFormats="0" applyWidthHeightFormats="0">
  <queryTableRefresh nextId="6">
    <queryTableFields count="5">
      <queryTableField id="1" name="Company" tableColumnId="1"/>
      <queryTableField id="2" name="Sector" tableColumnId="2"/>
      <queryTableField id="3" name="Price" tableColumnId="3"/>
      <queryTableField id="4" name="P/E" tableColumnId="4"/>
      <queryTableField id="5" name="EPS" tableColumnId="5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6" c="6">
    <v t="s"/>
    <v t="s">Company</v>
    <v t="s">Sector</v>
    <v t="s">Price</v>
    <v t="s">P/E</v>
    <v t="s">EPS</v>
    <v>0</v>
    <v t="s">Apple Inc</v>
    <v t="s">Technology</v>
    <v>182.3</v>
    <v>28.4</v>
    <v>6.45</v>
    <v>1</v>
    <v t="s">Microsoft</v>
    <v t="s">Technology</v>
    <v>415.2</v>
    <v t="r">0</v>
    <v>9.8000000000000007</v>
    <v>2</v>
    <v t="s">Amazon.Com</v>
    <v t="s">Consumer Disc</v>
    <v>152.1</v>
    <v>57</v>
    <v>1.67</v>
    <v>3</v>
    <v t="s">Tesla Inc</v>
    <v t="s">Consumer Disc</v>
    <v>239.4</v>
    <v>78.599999999999994</v>
    <v t="r">0</v>
    <v>4</v>
    <v t="s">Nvidia</v>
    <v t="s">Technology</v>
    <v>940.5</v>
    <v t="r">0</v>
    <v>11.93</v>
  </a>
  <a r="6" c="3">
    <v t="s"/>
    <v t="s">Ticker</v>
    <v t="s">Average Simulated Price</v>
    <v>0</v>
    <v t="s">Nvidia</v>
    <v>947.58790710708013</v>
    <v>1</v>
    <v t="s">Microsoft</v>
    <v>420.82256028529247</v>
    <v>2</v>
    <v t="s">Tesla Inc</v>
    <v>241.56993096309233</v>
    <v>3</v>
    <v t="s">Apple Inc</v>
    <v>184.29921168882049</v>
    <v>4</v>
    <v t="s">Amazon.Com</v>
    <v>153.66536920169855</v>
  </a>
  <a r="2">
    <v>790</v>
    <v>490</v>
  </a>
</arrayData>
</file>

<file path=xl/richData/rdrichvalue.xml><?xml version="1.0" encoding="utf-8"?>
<rvData xmlns="http://schemas.microsoft.com/office/spreadsheetml/2017/richdata" count="11">
  <rv s="0">
    <fb>0</fb>
    <v>2</v>
  </rv>
  <rv s="1">
    <v>0</v>
  </rv>
  <rv s="2">
    <v>DataFrame</v>
    <v>1</v>
    <v>1</v>
  </rv>
  <rv s="3">
    <v>&lt;class 'pandas.core.frame.DataFrame'&gt;</v>
    <v>DataFrame</v>
    <v xml:space="preserve">      Company         Sector  Price   P/E    EPS
0   Apple Inc     Technology  182.3  28.4   6.45
1   Microsoft     Technology  415.2   NaN   9.80
2  Amazon.Com  Consumer Disc  152.1  57.0   1.67
3   Tesla Inc  Consumer Disc  239.4  78.6    NaN
4      ...</v>
    <v>2</v>
    <v>3</v>
  </rv>
  <rv s="1">
    <v>1</v>
  </rv>
  <rv s="2">
    <v>DataFrame</v>
    <v>5</v>
    <v>4</v>
  </rv>
  <rv s="3">
    <v>&lt;class 'pandas.core.frame.DataFrame'&gt;</v>
    <v>DataFrame</v>
    <v xml:space="preserve">       Ticker  Average Simulated Price
0      Nvidia               947.587907
1   Microsoft               420.822560
2   Tesla Inc               241.569931
3   Apple Inc               184.299212
4  Amazon.Com               153.665369</v>
    <v>5</v>
    <v>3</v>
  </rv>
  <rv s="4">
    <v>0</v>
    <v>9</v>
  </rv>
  <rv s="1">
    <v>2</v>
  </rv>
  <rv s="5">
    <v>Image</v>
    <v>6</v>
    <v>7</v>
    <v>8</v>
  </rv>
  <rv s="3">
    <v>&lt;class 'PIL.PngImagePlugin.PngImageFile'&gt;</v>
    <v>PngImageFile</v>
    <v>&lt;PIL.PngImagePlugin.PngImageFile image mode=RGBA size=790x490 at 0x7FF801F61580&gt;</v>
    <v>9</v>
    <v>3</v>
  </rv>
</rvData>
</file>

<file path=xl/richData/rdrichvaluestructure.xml><?xml version="1.0" encoding="utf-8"?>
<rvStructures xmlns="http://schemas.microsoft.com/office/spreadsheetml/2017/richdata" count="6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7">
    <spb s="0">
      <v>5</v>
      <v>5</v>
      <v>DataFrame</v>
      <v>arrayPreview</v>
      <v>1</v>
    </spb>
    <spb s="1">
      <v>0</v>
    </spb>
    <spb s="2">
      <v>1</v>
    </spb>
    <spb s="3">
      <v>https://www.anaconda.com/excel</v>
      <v>https://res.cdn.office.net/officepysvc/prod-preview/anacondalogo.png</v>
      <v>Python provided by Anaconda</v>
    </spb>
    <spb s="0">
      <v>5</v>
      <v>2</v>
      <v>DataFrame</v>
      <v>arrayPreview</v>
      <v>1</v>
    </spb>
    <spb s="1">
      <v>4</v>
    </spb>
    <spb s="4">
      <v>2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  <rPr n="IsHeroField" t="b"/>
  </richProperties>
  <richStyles>
    <rSty dxfid="0">
      <rpv i="0">0;-0;"nan"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F961D-5FC5-457D-84DE-5929A99EA541}" name="EquitySnapshot" displayName="EquitySnapshot" ref="A1:E6" totalsRowShown="0">
  <autoFilter ref="A1:E6" xr:uid="{099F961D-5FC5-457D-84DE-5929A99EA541}"/>
  <tableColumns count="5">
    <tableColumn id="1" xr3:uid="{64588E9D-8CBD-4D27-9AEA-49A3298DE8B6}" name="Company"/>
    <tableColumn id="2" xr3:uid="{ED9C4834-02E6-4F88-A3AF-E6522AC92FE9}" name="Sector"/>
    <tableColumn id="3" xr3:uid="{9551F8A1-D4E8-4D9B-9AFD-30429E5B9D9E}" name="Price"/>
    <tableColumn id="4" xr3:uid="{E1BD3EDF-E523-42A5-A96D-8E0F05538BBD}" name="P/E"/>
    <tableColumn id="5" xr3:uid="{E3191CDC-8985-4578-8D29-21AD59A7CE7A}" name="EP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EB4FE0-7569-4D6C-AFAB-4ABD543EB4FF}" name="EquitySnapshotClean" displayName="EquitySnapshotClean" ref="A1:E6" tableType="queryTable" totalsRowShown="0">
  <autoFilter ref="A1:E6" xr:uid="{24EB4FE0-7569-4D6C-AFAB-4ABD543EB4FF}"/>
  <tableColumns count="5">
    <tableColumn id="1" xr3:uid="{AAA888EF-CBC9-49DC-9B1F-4351546A4D61}" uniqueName="1" name="Company" queryTableFieldId="1" dataDxfId="10"/>
    <tableColumn id="2" xr3:uid="{28576EB6-FBF6-4518-8225-1EA2D3EEDE15}" uniqueName="2" name="Sector" queryTableFieldId="2" dataDxfId="9"/>
    <tableColumn id="3" xr3:uid="{AF1F5898-B555-4F18-A1FE-9582B5963CCA}" uniqueName="3" name="Price" queryTableFieldId="3"/>
    <tableColumn id="4" xr3:uid="{294060CE-243E-4059-8989-7FEA47E95F3F}" uniqueName="4" name="P/E" queryTableFieldId="4"/>
    <tableColumn id="5" xr3:uid="{A661114F-5E58-4D79-BBD1-BF5A139ED623}" uniqueName="5" name="EP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CED851-F6F6-4121-A74E-29735240366A}" name="EquitySnapshotPlus" displayName="EquitySnapshotPlus" ref="A1:G11" totalsRowShown="0" headerRowDxfId="8" dataDxfId="7">
  <autoFilter ref="A1:G11" xr:uid="{57CED851-F6F6-4121-A74E-29735240366A}"/>
  <tableColumns count="7">
    <tableColumn id="1" xr3:uid="{FE27B3E4-6EE4-4EC7-8836-FEE90EE628F3}" name="Ticker" dataDxfId="6"/>
    <tableColumn id="2" xr3:uid="{561C1610-ACB1-40CA-A433-BD9731956AA0}" name="Company Name" dataDxfId="5"/>
    <tableColumn id="3" xr3:uid="{A40489F7-D5E6-48E1-9391-63149FD290E4}" name="Sector" dataDxfId="4"/>
    <tableColumn id="4" xr3:uid="{35F4CC4D-7147-46E8-8F79-E31EB9104847}" name="Price" dataDxfId="3"/>
    <tableColumn id="5" xr3:uid="{9058BA7F-2EEF-494F-BFE3-96120E518665}" name="EPS" dataDxfId="2"/>
    <tableColumn id="6" xr3:uid="{B50A939A-6876-4E36-8177-E73CB3914D82}" name="PE" dataDxfId="1"/>
    <tableColumn id="7" xr3:uid="{466D4599-2D3D-44D2-AE1C-0D9DF34F8AC5}" name="MarketCap (B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2" sqref="D2"/>
    </sheetView>
  </sheetViews>
  <sheetFormatPr defaultRowHeight="14.35" x14ac:dyDescent="0.5"/>
  <cols>
    <col min="1" max="1" width="10.1171875" customWidth="1"/>
    <col min="2" max="2" width="9.1171875" bestFit="1" customWidth="1"/>
    <col min="3" max="3" width="13.29296875" style="3" bestFit="1" customWidth="1"/>
  </cols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7" x14ac:dyDescent="0.5">
      <c r="A2" s="2" t="s">
        <v>5</v>
      </c>
      <c r="B2" s="2" t="s">
        <v>6</v>
      </c>
      <c r="C2" s="2">
        <v>182.3</v>
      </c>
      <c r="D2" s="2">
        <v>28.4</v>
      </c>
      <c r="E2" s="2">
        <v>6.45</v>
      </c>
    </row>
    <row r="3" spans="1:5" ht="28.7" x14ac:dyDescent="0.5">
      <c r="A3" s="2" t="s">
        <v>7</v>
      </c>
      <c r="B3" s="2" t="s">
        <v>8</v>
      </c>
      <c r="C3" s="2">
        <v>415.2</v>
      </c>
      <c r="D3" s="2" t="s">
        <v>9</v>
      </c>
      <c r="E3" s="2">
        <v>9.8000000000000007</v>
      </c>
    </row>
    <row r="4" spans="1:5" ht="28.7" x14ac:dyDescent="0.5">
      <c r="A4" s="2" t="s">
        <v>10</v>
      </c>
      <c r="B4" s="2" t="s">
        <v>11</v>
      </c>
      <c r="C4" s="2">
        <v>152.1</v>
      </c>
      <c r="D4" s="2">
        <v>57</v>
      </c>
      <c r="E4" s="2">
        <v>1.67</v>
      </c>
    </row>
    <row r="5" spans="1:5" ht="28.7" x14ac:dyDescent="0.5">
      <c r="A5" s="2" t="s">
        <v>12</v>
      </c>
      <c r="B5" s="2" t="s">
        <v>13</v>
      </c>
      <c r="C5" s="2">
        <v>239.4</v>
      </c>
      <c r="D5" s="2">
        <v>78.599999999999994</v>
      </c>
      <c r="E5" s="2" t="s">
        <v>9</v>
      </c>
    </row>
    <row r="6" spans="1:5" ht="28.7" x14ac:dyDescent="0.5">
      <c r="A6" s="2" t="s">
        <v>14</v>
      </c>
      <c r="B6" s="2" t="s">
        <v>8</v>
      </c>
      <c r="C6" s="2">
        <v>940.5</v>
      </c>
      <c r="D6" s="2" t="s">
        <v>15</v>
      </c>
      <c r="E6" s="2">
        <v>11.93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F1B9-5F62-4508-8BA1-0188925C1A36}">
  <dimension ref="A1:E6"/>
  <sheetViews>
    <sheetView workbookViewId="0">
      <selection activeCell="C4" sqref="C4"/>
    </sheetView>
  </sheetViews>
  <sheetFormatPr defaultRowHeight="14.35" x14ac:dyDescent="0.5"/>
  <cols>
    <col min="1" max="1" width="11.1171875" bestFit="1" customWidth="1"/>
    <col min="2" max="2" width="12.41015625" bestFit="1" customWidth="1"/>
    <col min="3" max="3" width="7" bestFit="1" customWidth="1"/>
    <col min="4" max="4" width="5.703125" bestFit="1" customWidth="1"/>
    <col min="5" max="5" width="5.87890625" bestFit="1" customWidth="1"/>
  </cols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 t="s">
        <v>16</v>
      </c>
      <c r="B2" t="s">
        <v>8</v>
      </c>
      <c r="C2">
        <v>182.3</v>
      </c>
      <c r="D2">
        <v>28.4</v>
      </c>
      <c r="E2">
        <v>6.45</v>
      </c>
    </row>
    <row r="3" spans="1:5" x14ac:dyDescent="0.5">
      <c r="A3" t="s">
        <v>17</v>
      </c>
      <c r="B3" t="s">
        <v>8</v>
      </c>
      <c r="C3">
        <v>415.2</v>
      </c>
      <c r="E3">
        <v>9.8000000000000007</v>
      </c>
    </row>
    <row r="4" spans="1:5" x14ac:dyDescent="0.5">
      <c r="A4" t="s">
        <v>18</v>
      </c>
      <c r="B4" t="s">
        <v>19</v>
      </c>
      <c r="C4">
        <v>152.1</v>
      </c>
      <c r="D4">
        <v>57</v>
      </c>
      <c r="E4">
        <v>1.67</v>
      </c>
    </row>
    <row r="5" spans="1:5" x14ac:dyDescent="0.5">
      <c r="A5" t="s">
        <v>20</v>
      </c>
      <c r="B5" t="s">
        <v>19</v>
      </c>
      <c r="C5">
        <v>239.4</v>
      </c>
      <c r="D5">
        <v>78.599999999999994</v>
      </c>
    </row>
    <row r="6" spans="1:5" x14ac:dyDescent="0.5">
      <c r="A6" t="s">
        <v>21</v>
      </c>
      <c r="B6" t="s">
        <v>8</v>
      </c>
      <c r="C6">
        <v>940.5</v>
      </c>
      <c r="E6">
        <v>11.93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C8E4-FFCA-4B00-8E8D-E5471F79E717}">
  <dimension ref="A1:F30"/>
  <sheetViews>
    <sheetView topLeftCell="A31" workbookViewId="0">
      <selection activeCell="A30" sqref="A30"/>
    </sheetView>
  </sheetViews>
  <sheetFormatPr defaultRowHeight="14.35" x14ac:dyDescent="0.5"/>
  <sheetData>
    <row r="1" spans="1:6" ht="30.7" x14ac:dyDescent="1">
      <c r="A1" s="4" t="s">
        <v>22</v>
      </c>
    </row>
    <row r="2" spans="1:6" x14ac:dyDescent="0.5">
      <c r="A2" t="s">
        <v>23</v>
      </c>
    </row>
    <row r="5" spans="1:6" ht="18" x14ac:dyDescent="0.6">
      <c r="A5" s="5" t="s">
        <v>24</v>
      </c>
    </row>
    <row r="6" spans="1:6" x14ac:dyDescent="0.5">
      <c r="A6" t="e" cm="1" vm="1">
        <f t="array" ref="A6">_xlfn._xlws.PY(0,1,EquitySnapshotClean[[#Headers],[#Data]])</f>
        <v>#VALUE!</v>
      </c>
    </row>
    <row r="8" spans="1:6" ht="15.7" x14ac:dyDescent="0.55000000000000004">
      <c r="A8" s="6" t="s">
        <v>25</v>
      </c>
    </row>
    <row r="9" spans="1:6" x14ac:dyDescent="0.5">
      <c r="A9" t="str" cm="1">
        <f t="array" ref="A9:F14">IFERROR(_FV(A6,"arrayPreview"),_xlfn._DF_Python_str(A6))</f>
        <v/>
      </c>
      <c r="B9" t="str">
        <v>Company</v>
      </c>
      <c r="C9" t="str">
        <v>Sector</v>
      </c>
      <c r="D9" t="str">
        <v>Price</v>
      </c>
      <c r="E9" t="str">
        <v>P/E</v>
      </c>
      <c r="F9" t="str">
        <v>EPS</v>
      </c>
    </row>
    <row r="10" spans="1:6" x14ac:dyDescent="0.5">
      <c r="A10">
        <v>0</v>
      </c>
      <c r="B10" t="str">
        <v>Apple Inc</v>
      </c>
      <c r="C10" t="str">
        <v>Technology</v>
      </c>
      <c r="D10">
        <v>182.3</v>
      </c>
      <c r="E10">
        <v>28.4</v>
      </c>
      <c r="F10">
        <v>6.45</v>
      </c>
    </row>
    <row r="11" spans="1:6" x14ac:dyDescent="0.5">
      <c r="A11">
        <v>1</v>
      </c>
      <c r="B11" t="str">
        <v>Microsoft</v>
      </c>
      <c r="C11" t="str">
        <v>Technology</v>
      </c>
      <c r="D11">
        <v>415.2</v>
      </c>
      <c r="E11" vm="2">
        <v>0</v>
      </c>
      <c r="F11">
        <v>9.8000000000000007</v>
      </c>
    </row>
    <row r="12" spans="1:6" x14ac:dyDescent="0.5">
      <c r="A12">
        <v>2</v>
      </c>
      <c r="B12" t="str">
        <v>Amazon.Com</v>
      </c>
      <c r="C12" t="str">
        <v>Consumer Disc</v>
      </c>
      <c r="D12">
        <v>152.1</v>
      </c>
      <c r="E12">
        <v>57</v>
      </c>
      <c r="F12">
        <v>1.67</v>
      </c>
    </row>
    <row r="13" spans="1:6" x14ac:dyDescent="0.5">
      <c r="A13">
        <v>3</v>
      </c>
      <c r="B13" t="str">
        <v>Tesla Inc</v>
      </c>
      <c r="C13" t="str">
        <v>Consumer Disc</v>
      </c>
      <c r="D13">
        <v>239.4</v>
      </c>
      <c r="E13">
        <v>78.599999999999994</v>
      </c>
      <c r="F13" vm="2">
        <v>0</v>
      </c>
    </row>
    <row r="14" spans="1:6" x14ac:dyDescent="0.5">
      <c r="A14">
        <v>4</v>
      </c>
      <c r="B14" t="str">
        <v>Nvidia</v>
      </c>
      <c r="C14" t="str">
        <v>Technology</v>
      </c>
      <c r="D14">
        <v>940.5</v>
      </c>
      <c r="E14" vm="2">
        <v>0</v>
      </c>
      <c r="F14">
        <v>11.93</v>
      </c>
    </row>
    <row r="17" spans="1:3" ht="18" x14ac:dyDescent="0.6">
      <c r="A17" s="5" t="s">
        <v>26</v>
      </c>
    </row>
    <row r="18" spans="1:3" x14ac:dyDescent="0.5">
      <c r="A18" t="e" cm="1" vm="3">
        <f t="array" ref="A18">_xlfn._xlws.PY(1,1)</f>
        <v>#VALUE!</v>
      </c>
    </row>
    <row r="20" spans="1:3" ht="15.7" x14ac:dyDescent="0.55000000000000004">
      <c r="A20" s="6" t="s">
        <v>25</v>
      </c>
    </row>
    <row r="21" spans="1:3" x14ac:dyDescent="0.5">
      <c r="A21" t="str" cm="1">
        <f t="array" ref="A21:C26">IFERROR(_FV(A18,"arrayPreview"),_xlfn._DF_Python_str(A18))</f>
        <v/>
      </c>
      <c r="B21" t="str">
        <v>Ticker</v>
      </c>
      <c r="C21" t="str">
        <v>Average Simulated Price</v>
      </c>
    </row>
    <row r="22" spans="1:3" x14ac:dyDescent="0.5">
      <c r="A22">
        <v>0</v>
      </c>
      <c r="B22" t="str">
        <v>Nvidia</v>
      </c>
      <c r="C22">
        <v>947.58790710708013</v>
      </c>
    </row>
    <row r="23" spans="1:3" x14ac:dyDescent="0.5">
      <c r="A23">
        <v>1</v>
      </c>
      <c r="B23" t="str">
        <v>Microsoft</v>
      </c>
      <c r="C23">
        <v>420.82256028529247</v>
      </c>
    </row>
    <row r="24" spans="1:3" x14ac:dyDescent="0.5">
      <c r="A24">
        <v>2</v>
      </c>
      <c r="B24" t="str">
        <v>Tesla Inc</v>
      </c>
      <c r="C24">
        <v>241.56993096309233</v>
      </c>
    </row>
    <row r="25" spans="1:3" x14ac:dyDescent="0.5">
      <c r="A25">
        <v>3</v>
      </c>
      <c r="B25" t="str">
        <v>Apple Inc</v>
      </c>
      <c r="C25">
        <v>184.29921168882049</v>
      </c>
    </row>
    <row r="26" spans="1:3" x14ac:dyDescent="0.5">
      <c r="A26">
        <v>4</v>
      </c>
      <c r="B26" t="str">
        <v>Amazon.Com</v>
      </c>
      <c r="C26">
        <v>153.66536920169855</v>
      </c>
    </row>
    <row r="29" spans="1:3" ht="18" x14ac:dyDescent="0.6">
      <c r="A29" s="5" t="s">
        <v>27</v>
      </c>
    </row>
    <row r="30" spans="1:3" x14ac:dyDescent="0.5">
      <c r="A30" t="e" cm="1" vm="4">
        <f t="array" ref="A30">_xlfn._xlws.PY(2,1)</f>
        <v>#VALUE!</v>
      </c>
    </row>
  </sheetData>
  <pageMargins left="0.7" right="0.7" top="0.75" bottom="0.75" header="0.3" footer="0.3"/>
  <customProperties>
    <customPr name="isPythonAnalysisSheet" r:id="rId1"/>
    <customPr name="lastPythonCell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953D-09CE-494B-BA91-6658497B77AE}">
  <dimension ref="A1:G11"/>
  <sheetViews>
    <sheetView workbookViewId="0">
      <selection activeCell="C2" sqref="C2"/>
    </sheetView>
  </sheetViews>
  <sheetFormatPr defaultRowHeight="14.35" x14ac:dyDescent="0.5"/>
  <sheetData>
    <row r="1" spans="1:7" ht="28.7" x14ac:dyDescent="0.5">
      <c r="A1" s="1" t="s">
        <v>28</v>
      </c>
      <c r="B1" s="1" t="s">
        <v>29</v>
      </c>
      <c r="C1" s="1" t="s">
        <v>1</v>
      </c>
      <c r="D1" s="1" t="s">
        <v>2</v>
      </c>
      <c r="E1" s="1" t="s">
        <v>4</v>
      </c>
      <c r="F1" s="1" t="s">
        <v>30</v>
      </c>
      <c r="G1" s="1" t="s">
        <v>31</v>
      </c>
    </row>
    <row r="2" spans="1:7" ht="28.7" x14ac:dyDescent="0.5">
      <c r="A2" s="2" t="s">
        <v>32</v>
      </c>
      <c r="B2" s="2" t="s">
        <v>17</v>
      </c>
      <c r="C2" s="2" t="s">
        <v>8</v>
      </c>
      <c r="D2" s="2">
        <v>326.7</v>
      </c>
      <c r="E2" s="2">
        <v>9.1300000000000008</v>
      </c>
      <c r="F2" s="2">
        <v>35.799999999999997</v>
      </c>
      <c r="G2" s="2">
        <v>2430</v>
      </c>
    </row>
    <row r="3" spans="1:7" ht="28.7" x14ac:dyDescent="0.5">
      <c r="A3" s="2" t="s">
        <v>33</v>
      </c>
      <c r="B3" s="2" t="s">
        <v>34</v>
      </c>
      <c r="C3" s="2" t="s">
        <v>8</v>
      </c>
      <c r="D3" s="2">
        <v>185.2</v>
      </c>
      <c r="E3" s="2">
        <v>6.45</v>
      </c>
      <c r="F3" s="2">
        <v>28.7</v>
      </c>
      <c r="G3" s="2">
        <v>2890</v>
      </c>
    </row>
    <row r="4" spans="1:7" ht="28.7" x14ac:dyDescent="0.5">
      <c r="A4" s="2" t="s">
        <v>35</v>
      </c>
      <c r="B4" s="2" t="s">
        <v>14</v>
      </c>
      <c r="C4" s="2" t="s">
        <v>8</v>
      </c>
      <c r="D4" s="2">
        <v>480.5</v>
      </c>
      <c r="E4" s="2">
        <v>11.2</v>
      </c>
      <c r="F4" s="2">
        <v>42.9</v>
      </c>
      <c r="G4" s="2">
        <v>1180</v>
      </c>
    </row>
    <row r="5" spans="1:7" ht="28.7" x14ac:dyDescent="0.5">
      <c r="A5" s="2" t="s">
        <v>36</v>
      </c>
      <c r="B5" s="2" t="s">
        <v>37</v>
      </c>
      <c r="C5" s="2" t="s">
        <v>38</v>
      </c>
      <c r="D5" s="2">
        <v>140.30000000000001</v>
      </c>
      <c r="E5" s="2">
        <v>14.2</v>
      </c>
      <c r="F5" s="2">
        <v>9.9</v>
      </c>
      <c r="G5" s="2">
        <v>410</v>
      </c>
    </row>
    <row r="6" spans="1:7" ht="28.7" x14ac:dyDescent="0.5">
      <c r="A6" s="2" t="s">
        <v>39</v>
      </c>
      <c r="B6" s="2" t="s">
        <v>40</v>
      </c>
      <c r="C6" s="2" t="s">
        <v>38</v>
      </c>
      <c r="D6" s="2">
        <v>31.5</v>
      </c>
      <c r="E6" s="2">
        <v>3.2</v>
      </c>
      <c r="F6" s="2">
        <v>9.8000000000000007</v>
      </c>
      <c r="G6" s="2">
        <v>250</v>
      </c>
    </row>
    <row r="7" spans="1:7" ht="28.7" x14ac:dyDescent="0.5">
      <c r="A7" s="2" t="s">
        <v>41</v>
      </c>
      <c r="B7" s="2" t="s">
        <v>42</v>
      </c>
      <c r="C7" s="2" t="s">
        <v>43</v>
      </c>
      <c r="D7" s="2">
        <v>154.5</v>
      </c>
      <c r="E7" s="2">
        <v>5.35</v>
      </c>
      <c r="F7" s="2">
        <v>28.9</v>
      </c>
      <c r="G7" s="2">
        <v>365</v>
      </c>
    </row>
    <row r="8" spans="1:7" x14ac:dyDescent="0.5">
      <c r="A8" s="2" t="s">
        <v>44</v>
      </c>
      <c r="B8" s="2" t="s">
        <v>45</v>
      </c>
      <c r="C8" s="2" t="s">
        <v>43</v>
      </c>
      <c r="D8" s="2">
        <v>59.8</v>
      </c>
      <c r="E8" s="2">
        <v>2.4900000000000002</v>
      </c>
      <c r="F8" s="2">
        <v>24</v>
      </c>
      <c r="G8" s="2">
        <v>260</v>
      </c>
    </row>
    <row r="9" spans="1:7" ht="28.7" x14ac:dyDescent="0.5">
      <c r="A9" s="2" t="s">
        <v>46</v>
      </c>
      <c r="B9" s="2" t="s">
        <v>47</v>
      </c>
      <c r="C9" s="2" t="s">
        <v>48</v>
      </c>
      <c r="D9" s="2">
        <v>108.9</v>
      </c>
      <c r="E9" s="2">
        <v>8.3000000000000007</v>
      </c>
      <c r="F9" s="2">
        <v>13.1</v>
      </c>
      <c r="G9" s="2">
        <v>440</v>
      </c>
    </row>
    <row r="10" spans="1:7" x14ac:dyDescent="0.5">
      <c r="A10" s="2" t="s">
        <v>49</v>
      </c>
      <c r="B10" s="2" t="s">
        <v>50</v>
      </c>
      <c r="C10" s="2" t="s">
        <v>48</v>
      </c>
      <c r="D10" s="2">
        <v>155.69999999999999</v>
      </c>
      <c r="E10" s="2">
        <v>13.4</v>
      </c>
      <c r="F10" s="2">
        <v>11.6</v>
      </c>
      <c r="G10" s="2">
        <v>300</v>
      </c>
    </row>
    <row r="11" spans="1:7" x14ac:dyDescent="0.5">
      <c r="A11" s="2" t="s">
        <v>51</v>
      </c>
      <c r="B11" s="2" t="s">
        <v>52</v>
      </c>
      <c r="C11" s="2" t="s">
        <v>53</v>
      </c>
      <c r="D11" s="2">
        <v>17.2</v>
      </c>
      <c r="E11" s="2">
        <v>1.95</v>
      </c>
      <c r="F11" s="2">
        <v>8.8000000000000007</v>
      </c>
      <c r="G11" s="2">
        <v>120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38EC-C1E9-47C3-9B36-9E0ABCACC76F}">
  <dimension ref="A2:B13"/>
  <sheetViews>
    <sheetView workbookViewId="0">
      <selection activeCell="A8" sqref="A8"/>
    </sheetView>
  </sheetViews>
  <sheetFormatPr defaultRowHeight="14.35" x14ac:dyDescent="0.5"/>
  <cols>
    <col min="1" max="1" width="22.41015625" bestFit="1" customWidth="1"/>
    <col min="2" max="2" width="14.87890625" customWidth="1"/>
  </cols>
  <sheetData>
    <row r="2" spans="1:2" x14ac:dyDescent="0.5">
      <c r="A2" t="s">
        <v>54</v>
      </c>
      <c r="B2" t="s">
        <v>55</v>
      </c>
    </row>
    <row r="3" spans="1:2" x14ac:dyDescent="0.5">
      <c r="A3" t="s">
        <v>56</v>
      </c>
      <c r="B3" t="s">
        <v>55</v>
      </c>
    </row>
    <row r="4" spans="1:2" x14ac:dyDescent="0.5">
      <c r="A4" t="s">
        <v>57</v>
      </c>
      <c r="B4" t="s">
        <v>55</v>
      </c>
    </row>
    <row r="5" spans="1:2" x14ac:dyDescent="0.5">
      <c r="A5" t="s">
        <v>58</v>
      </c>
      <c r="B5" t="s">
        <v>55</v>
      </c>
    </row>
    <row r="6" spans="1:2" x14ac:dyDescent="0.5">
      <c r="A6" t="s">
        <v>59</v>
      </c>
      <c r="B6" t="s">
        <v>55</v>
      </c>
    </row>
    <row r="7" spans="1:2" x14ac:dyDescent="0.5">
      <c r="A7" t="s">
        <v>60</v>
      </c>
      <c r="B7" t="s">
        <v>55</v>
      </c>
    </row>
    <row r="8" spans="1:2" x14ac:dyDescent="0.5">
      <c r="A8" t="s">
        <v>61</v>
      </c>
      <c r="B8" t="s">
        <v>55</v>
      </c>
    </row>
    <row r="9" spans="1:2" x14ac:dyDescent="0.5">
      <c r="A9" t="s">
        <v>62</v>
      </c>
      <c r="B9" t="s">
        <v>55</v>
      </c>
    </row>
    <row r="10" spans="1:2" x14ac:dyDescent="0.5">
      <c r="A10" t="s">
        <v>63</v>
      </c>
      <c r="B10" t="s">
        <v>55</v>
      </c>
    </row>
    <row r="11" spans="1:2" x14ac:dyDescent="0.5">
      <c r="A11" t="s">
        <v>64</v>
      </c>
      <c r="B11" t="s">
        <v>55</v>
      </c>
    </row>
    <row r="12" spans="1:2" x14ac:dyDescent="0.5">
      <c r="A12" t="s">
        <v>65</v>
      </c>
      <c r="B12" t="s">
        <v>55</v>
      </c>
    </row>
    <row r="13" spans="1:2" x14ac:dyDescent="0.5">
      <c r="A13" t="s">
        <v>66</v>
      </c>
      <c r="B13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A278B-3D77-4541-82A7-5E289956C972}">
  <dimension ref="A1:K9"/>
  <sheetViews>
    <sheetView workbookViewId="0">
      <selection sqref="A1:H1"/>
    </sheetView>
  </sheetViews>
  <sheetFormatPr defaultRowHeight="14.35" x14ac:dyDescent="0.5"/>
  <cols>
    <col min="1" max="1" width="11.1171875" bestFit="1" customWidth="1"/>
    <col min="2" max="2" width="18" bestFit="1" customWidth="1"/>
    <col min="3" max="3" width="6.41015625" bestFit="1" customWidth="1"/>
    <col min="4" max="4" width="8" bestFit="1" customWidth="1"/>
    <col min="5" max="5" width="12.41015625" bestFit="1" customWidth="1"/>
    <col min="6" max="6" width="8.29296875" bestFit="1" customWidth="1"/>
    <col min="7" max="7" width="8.703125" bestFit="1" customWidth="1"/>
    <col min="10" max="10" width="10" bestFit="1" customWidth="1"/>
    <col min="11" max="11" width="5" bestFit="1" customWidth="1"/>
  </cols>
  <sheetData>
    <row r="1" spans="1:11" ht="18" x14ac:dyDescent="0.6">
      <c r="A1" s="9" t="s">
        <v>67</v>
      </c>
      <c r="B1" s="9"/>
      <c r="C1" s="9"/>
      <c r="D1" s="9"/>
      <c r="E1" s="9"/>
      <c r="F1" s="9"/>
      <c r="G1" s="9"/>
      <c r="H1" s="9"/>
    </row>
    <row r="2" spans="1:11" x14ac:dyDescent="0.5">
      <c r="A2" s="10" t="str">
        <f>"Sector valuations: weighted P/E ranges from " &amp; TEXT(K6, "0.0") &amp; "x (" &amp; J6 &amp; ") to " &amp; TEXT(K5, "0.0") &amp; "x (" &amp; J5 &amp; "). Simple average P/E spans " &amp; TEXT(MIN(D5:D9), "0.0") &amp; "x–" &amp; TEXT(MAX(D5:D9), "0.0") &amp; "x across sectors."</f>
        <v>Sector valuations: weighted P/E ranges from 8.8x (Telecom) to 33.9x (Technology). Simple average P/E spans 8.8x–35.8x across sectors.</v>
      </c>
      <c r="B2" s="10"/>
      <c r="C2" s="10"/>
      <c r="D2" s="10"/>
      <c r="E2" s="10"/>
      <c r="F2" s="10"/>
      <c r="G2" s="10"/>
      <c r="H2" s="10"/>
    </row>
    <row r="3" spans="1:11" x14ac:dyDescent="0.5">
      <c r="A3" s="10"/>
      <c r="B3" s="10"/>
      <c r="C3" s="10"/>
      <c r="D3" s="10"/>
      <c r="E3" s="10"/>
      <c r="F3" s="10"/>
      <c r="G3" s="10"/>
      <c r="H3" s="10"/>
    </row>
    <row r="4" spans="1:11" x14ac:dyDescent="0.5">
      <c r="A4" s="7" t="s">
        <v>1</v>
      </c>
      <c r="B4" s="7" t="s">
        <v>68</v>
      </c>
      <c r="C4" s="7" t="s">
        <v>69</v>
      </c>
      <c r="D4" s="7" t="s">
        <v>70</v>
      </c>
      <c r="E4" s="7" t="s">
        <v>71</v>
      </c>
      <c r="F4" s="7" t="s">
        <v>72</v>
      </c>
      <c r="G4" s="7" t="s">
        <v>73</v>
      </c>
    </row>
    <row r="5" spans="1:11" x14ac:dyDescent="0.5">
      <c r="A5" t="str" cm="1">
        <f t="array" ref="A5:A9">_xlfn._xlws.SORT(_xlfn.UNIQUE(EquitySnapshotPlus[Sector]))</f>
        <v>Consumer</v>
      </c>
      <c r="B5" t="str" cm="1">
        <f t="array" ref="B5">_xlfn.TEXTJOIN(", ", TRUE, _xlfn._xlws.FILTER(EquitySnapshotPlus[Ticker], EquitySnapshotPlus[Sector]=A5))</f>
        <v>PG, KO</v>
      </c>
      <c r="C5">
        <f>COUNTIFS(EquitySnapshotPlus[Sector], A5)</f>
        <v>2</v>
      </c>
      <c r="D5" s="8">
        <f>AVERAGEIFS(EquitySnapshotPlus[PE], EquitySnapshotPlus[Sector], A5)</f>
        <v>26.45</v>
      </c>
      <c r="E5" s="8" cm="1">
        <f t="array" ref="E5">SUMPRODUCT(EquitySnapshotPlus[PE], EquitySnapshotPlus[MarketCap (B)], --(EquitySnapshotPlus[Sector]=A5))/SUMIFS(EquitySnapshotPlus[MarketCap (B)], EquitySnapshotPlus[Sector], A5)</f>
        <v>26.861599999999999</v>
      </c>
      <c r="F5" s="8">
        <f>_xlfn.MINIFS(EquitySnapshotPlus[PE], EquitySnapshotPlus[Sector], A5)</f>
        <v>24</v>
      </c>
      <c r="G5" s="8">
        <f>_xlfn.MAXIFS(EquitySnapshotPlus[PE], EquitySnapshotPlus[Sector], A5)</f>
        <v>28.9</v>
      </c>
      <c r="J5" t="str">
        <f>INDEX(A5:A9, MATCH(MAX(E5:E9), E5:E9, 0))</f>
        <v>Technology</v>
      </c>
      <c r="K5" s="8">
        <f>MAX(E5:E9)</f>
        <v>33.932153846153845</v>
      </c>
    </row>
    <row r="6" spans="1:11" x14ac:dyDescent="0.5">
      <c r="A6" t="str">
        <v>Energy</v>
      </c>
      <c r="B6" t="str" cm="1">
        <f t="array" ref="B6">_xlfn.TEXTJOIN(", ", TRUE, _xlfn._xlws.FILTER(EquitySnapshotPlus[Ticker], EquitySnapshotPlus[Sector]=A6))</f>
        <v>XOM, CVX</v>
      </c>
      <c r="C6">
        <f>COUNTIFS(EquitySnapshotPlus[Sector], A6)</f>
        <v>2</v>
      </c>
      <c r="D6" s="8">
        <f>AVERAGEIFS(EquitySnapshotPlus[PE], EquitySnapshotPlus[Sector], A6)</f>
        <v>12.35</v>
      </c>
      <c r="E6" s="8" cm="1">
        <f t="array" ref="E6">SUMPRODUCT(EquitySnapshotPlus[PE], EquitySnapshotPlus[MarketCap (B)], --(EquitySnapshotPlus[Sector]=A6))/SUMIFS(EquitySnapshotPlus[MarketCap (B)], EquitySnapshotPlus[Sector], A6)</f>
        <v>12.491891891891893</v>
      </c>
      <c r="F6" s="8">
        <f>_xlfn.MINIFS(EquitySnapshotPlus[PE], EquitySnapshotPlus[Sector], A6)</f>
        <v>11.6</v>
      </c>
      <c r="G6" s="8">
        <f>_xlfn.MAXIFS(EquitySnapshotPlus[PE], EquitySnapshotPlus[Sector], A6)</f>
        <v>13.1</v>
      </c>
      <c r="J6" t="str">
        <f>INDEX(A5:A9, MATCH(MIN(E5:E9), E5:E9, 0))</f>
        <v>Telecom</v>
      </c>
      <c r="K6" s="8">
        <f>MIN(E5:E9)</f>
        <v>8.8000000000000007</v>
      </c>
    </row>
    <row r="7" spans="1:11" x14ac:dyDescent="0.5">
      <c r="A7" t="str">
        <v>Financials</v>
      </c>
      <c r="B7" t="str" cm="1">
        <f t="array" ref="B7">_xlfn.TEXTJOIN(", ", TRUE, _xlfn._xlws.FILTER(EquitySnapshotPlus[Ticker], EquitySnapshotPlus[Sector]=A7))</f>
        <v>JPM, BAC</v>
      </c>
      <c r="C7">
        <f>COUNTIFS(EquitySnapshotPlus[Sector], A7)</f>
        <v>2</v>
      </c>
      <c r="D7" s="8">
        <f>AVERAGEIFS(EquitySnapshotPlus[PE], EquitySnapshotPlus[Sector], A7)</f>
        <v>9.8500000000000014</v>
      </c>
      <c r="E7" s="8" cm="1">
        <f t="array" ref="E7">SUMPRODUCT(EquitySnapshotPlus[PE], EquitySnapshotPlus[MarketCap (B)], --(EquitySnapshotPlus[Sector]=A7))/SUMIFS(EquitySnapshotPlus[MarketCap (B)], EquitySnapshotPlus[Sector], A7)</f>
        <v>9.8621212121212114</v>
      </c>
      <c r="F7" s="8">
        <f>_xlfn.MINIFS(EquitySnapshotPlus[PE], EquitySnapshotPlus[Sector], A7)</f>
        <v>9.8000000000000007</v>
      </c>
      <c r="G7" s="8">
        <f>_xlfn.MAXIFS(EquitySnapshotPlus[PE], EquitySnapshotPlus[Sector], A7)</f>
        <v>9.9</v>
      </c>
    </row>
    <row r="8" spans="1:11" x14ac:dyDescent="0.5">
      <c r="A8" t="str">
        <v>Technology</v>
      </c>
      <c r="B8" t="str" cm="1">
        <f t="array" ref="B8">_xlfn.TEXTJOIN(", ", TRUE, _xlfn._xlws.FILTER(EquitySnapshotPlus[Ticker], EquitySnapshotPlus[Sector]=A8))</f>
        <v>MSFT, AAPL, NVDA</v>
      </c>
      <c r="C8">
        <f>COUNTIFS(EquitySnapshotPlus[Sector], A8)</f>
        <v>3</v>
      </c>
      <c r="D8" s="8">
        <f>AVERAGEIFS(EquitySnapshotPlus[PE], EquitySnapshotPlus[Sector], A8)</f>
        <v>35.800000000000004</v>
      </c>
      <c r="E8" s="8" cm="1">
        <f t="array" ref="E8">SUMPRODUCT(EquitySnapshotPlus[PE], EquitySnapshotPlus[MarketCap (B)], --(EquitySnapshotPlus[Sector]=A8))/SUMIFS(EquitySnapshotPlus[MarketCap (B)], EquitySnapshotPlus[Sector], A8)</f>
        <v>33.932153846153845</v>
      </c>
      <c r="F8" s="8">
        <f>_xlfn.MINIFS(EquitySnapshotPlus[PE], EquitySnapshotPlus[Sector], A8)</f>
        <v>28.7</v>
      </c>
      <c r="G8" s="8">
        <f>_xlfn.MAXIFS(EquitySnapshotPlus[PE], EquitySnapshotPlus[Sector], A8)</f>
        <v>42.9</v>
      </c>
    </row>
    <row r="9" spans="1:11" x14ac:dyDescent="0.5">
      <c r="A9" t="str">
        <v>Telecom</v>
      </c>
      <c r="B9" t="str" cm="1">
        <f t="array" ref="B9">_xlfn.TEXTJOIN(", ", TRUE, _xlfn._xlws.FILTER(EquitySnapshotPlus[Ticker], EquitySnapshotPlus[Sector]=A9))</f>
        <v>T</v>
      </c>
      <c r="C9">
        <f>COUNTIFS(EquitySnapshotPlus[Sector], A9)</f>
        <v>1</v>
      </c>
      <c r="D9" s="8">
        <f>AVERAGEIFS(EquitySnapshotPlus[PE], EquitySnapshotPlus[Sector], A9)</f>
        <v>8.8000000000000007</v>
      </c>
      <c r="E9" s="8" cm="1">
        <f t="array" ref="E9">SUMPRODUCT(EquitySnapshotPlus[PE], EquitySnapshotPlus[MarketCap (B)], --(EquitySnapshotPlus[Sector]=A9))/SUMIFS(EquitySnapshotPlus[MarketCap (B)], EquitySnapshotPlus[Sector], A9)</f>
        <v>8.8000000000000007</v>
      </c>
      <c r="F9" s="8">
        <f>_xlfn.MINIFS(EquitySnapshotPlus[PE], EquitySnapshotPlus[Sector], A9)</f>
        <v>8.8000000000000007</v>
      </c>
      <c r="G9" s="8">
        <f>_xlfn.MAXIFS(EquitySnapshotPlus[PE], EquitySnapshotPlus[Sector], A9)</f>
        <v>8.8000000000000007</v>
      </c>
    </row>
  </sheetData>
  <mergeCells count="2">
    <mergeCell ref="A1:H1"/>
    <mergeCell ref="A2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255C-36F0-4AE3-89D6-0BB581F7498F}">
  <dimension ref="A1"/>
  <sheetViews>
    <sheetView topLeftCell="A6" workbookViewId="0"/>
  </sheetViews>
  <sheetFormatPr defaultRowHeight="14.35" x14ac:dyDescent="0.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2CA2C-AD70-49EF-B885-F7FD853DD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EquitySnapshot</vt:lpstr>
      <vt:lpstr>EquitySnapshotClean</vt:lpstr>
      <vt:lpstr>Analysis1</vt:lpstr>
      <vt:lpstr>EquitySnapshotPlus</vt:lpstr>
      <vt:lpstr>Logs</vt:lpstr>
      <vt:lpstr>Snapshot</vt:lpstr>
      <vt:lpstr>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Mount</dc:creator>
  <cp:keywords/>
  <dc:description/>
  <cp:lastModifiedBy>George Mount</cp:lastModifiedBy>
  <cp:revision/>
  <dcterms:created xsi:type="dcterms:W3CDTF">2015-06-05T18:17:20Z</dcterms:created>
  <dcterms:modified xsi:type="dcterms:W3CDTF">2025-11-18T00:46:01Z</dcterms:modified>
  <cp:category/>
  <cp:contentStatus/>
</cp:coreProperties>
</file>